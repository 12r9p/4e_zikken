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mi/Downloads/"/>
    </mc:Choice>
  </mc:AlternateContent>
  <xr:revisionPtr revIDLastSave="0" documentId="13_ncr:1_{6ABB1CFF-7555-584A-A9B5-103114AFB20D}" xr6:coauthVersionLast="47" xr6:coauthVersionMax="47" xr10:uidLastSave="{00000000-0000-0000-0000-000000000000}"/>
  <bookViews>
    <workbookView xWindow="0" yWindow="780" windowWidth="36000" windowHeight="22600" xr2:uid="{89831BD7-977B-D94C-A7FA-04153F44CAF8}"/>
  </bookViews>
  <sheets>
    <sheet name="実験2.1 無負荷試験" sheetId="1" r:id="rId1"/>
    <sheet name="実験2.2 実負荷試験" sheetId="2" r:id="rId2"/>
    <sheet name="実験2.3 star-star" sheetId="4" r:id="rId3"/>
    <sheet name="実験2.4 delta-star" sheetId="5" r:id="rId4"/>
    <sheet name="実験2.5 delta-delta" sheetId="6" r:id="rId5"/>
    <sheet name="実験2.6 open delta -　open delta" sheetId="7" r:id="rId6"/>
    <sheet name="実験A 使用器具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K5" i="2"/>
  <c r="K3" i="2"/>
  <c r="K6" i="2"/>
  <c r="K7" i="2"/>
  <c r="K8" i="2"/>
  <c r="K9" i="2"/>
  <c r="G9" i="2"/>
  <c r="D9" i="2"/>
  <c r="G3" i="2"/>
  <c r="G5" i="2"/>
  <c r="G6" i="2"/>
  <c r="G7" i="2"/>
  <c r="G8" i="2"/>
  <c r="D3" i="2"/>
  <c r="D5" i="2"/>
  <c r="D6" i="2"/>
  <c r="D7" i="2"/>
  <c r="D8" i="2"/>
  <c r="G4" i="2"/>
  <c r="D4" i="2"/>
  <c r="G10" i="1"/>
  <c r="F8" i="1"/>
  <c r="F9" i="1"/>
  <c r="E13" i="1"/>
  <c r="F1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F10" i="1" s="1"/>
  <c r="E11" i="1"/>
  <c r="G11" i="1" s="1"/>
  <c r="E12" i="1"/>
  <c r="G12" i="1" s="1"/>
  <c r="E3" i="1"/>
  <c r="F3" i="1" s="1"/>
  <c r="G13" i="1" l="1"/>
  <c r="F7" i="1"/>
  <c r="F6" i="1"/>
  <c r="F5" i="1"/>
  <c r="F4" i="1"/>
  <c r="F12" i="1"/>
  <c r="F11" i="1"/>
  <c r="J9" i="2"/>
  <c r="J4" i="2"/>
  <c r="J3" i="2"/>
  <c r="J7" i="2"/>
  <c r="J5" i="2"/>
  <c r="J6" i="2"/>
  <c r="J8" i="2"/>
</calcChain>
</file>

<file path=xl/sharedStrings.xml><?xml version="1.0" encoding="utf-8"?>
<sst xmlns="http://schemas.openxmlformats.org/spreadsheetml/2006/main" count="183" uniqueCount="86">
  <si>
    <t>W_i</t>
    <phoneticPr fontId="1"/>
  </si>
  <si>
    <t>p.f.</t>
    <phoneticPr fontId="1"/>
  </si>
  <si>
    <t>定数</t>
    <rPh sb="0" eb="2">
      <t>テイスウ</t>
    </rPh>
    <phoneticPr fontId="1"/>
  </si>
  <si>
    <t>r_0</t>
    <phoneticPr fontId="1"/>
  </si>
  <si>
    <t>I_0 [A]</t>
    <phoneticPr fontId="1"/>
  </si>
  <si>
    <t>W_0 [W]</t>
    <phoneticPr fontId="1"/>
  </si>
  <si>
    <t>V_0 [V]</t>
    <phoneticPr fontId="1"/>
  </si>
  <si>
    <t>W_0 raw</t>
    <phoneticPr fontId="1"/>
  </si>
  <si>
    <t xml:space="preserve">  </t>
    <phoneticPr fontId="1"/>
  </si>
  <si>
    <t>V_1</t>
    <phoneticPr fontId="1"/>
  </si>
  <si>
    <t>i_1</t>
    <phoneticPr fontId="1"/>
  </si>
  <si>
    <t>I_2</t>
    <phoneticPr fontId="1"/>
  </si>
  <si>
    <t>V_2</t>
    <phoneticPr fontId="1"/>
  </si>
  <si>
    <t xml:space="preserve">効率n </t>
    <rPh sb="0" eb="2">
      <t>コウリｔウ</t>
    </rPh>
    <phoneticPr fontId="1"/>
  </si>
  <si>
    <t>電圧変動率ε</t>
    <rPh sb="0" eb="5">
      <t>デンアｔウ</t>
    </rPh>
    <phoneticPr fontId="1"/>
  </si>
  <si>
    <t>W_1 [W]</t>
    <phoneticPr fontId="1"/>
  </si>
  <si>
    <t>W_2 [W]</t>
    <phoneticPr fontId="1"/>
  </si>
  <si>
    <t>W_1 raw</t>
    <phoneticPr fontId="1"/>
  </si>
  <si>
    <t>W_2 raw</t>
    <phoneticPr fontId="1"/>
  </si>
  <si>
    <t>V＿20</t>
    <phoneticPr fontId="1"/>
  </si>
  <si>
    <t>電流計</t>
    <rPh sb="0" eb="3">
      <t>デンリュウ</t>
    </rPh>
    <phoneticPr fontId="1"/>
  </si>
  <si>
    <t>電力計</t>
    <rPh sb="0" eb="3">
      <t>デンリョｋウ</t>
    </rPh>
    <phoneticPr fontId="1"/>
  </si>
  <si>
    <t>変圧器</t>
    <rPh sb="0" eb="3">
      <t>ヘンアツｋイ</t>
    </rPh>
    <phoneticPr fontId="1"/>
  </si>
  <si>
    <t>負荷</t>
    <rPh sb="0" eb="2">
      <t xml:space="preserve">フカ </t>
    </rPh>
    <phoneticPr fontId="1"/>
  </si>
  <si>
    <t>旭電機製造株式會社</t>
    <rPh sb="1" eb="7">
      <t>アｓア</t>
    </rPh>
    <rPh sb="7" eb="8">
      <t>ガイシャ</t>
    </rPh>
    <rPh sb="8" eb="9">
      <t xml:space="preserve">シャ </t>
    </rPh>
    <phoneticPr fontId="1"/>
  </si>
  <si>
    <t>RP-31.3S</t>
    <phoneticPr fontId="1"/>
  </si>
  <si>
    <t>RL-3087</t>
    <phoneticPr fontId="1"/>
  </si>
  <si>
    <t xml:space="preserve"> シリアル</t>
    <phoneticPr fontId="1"/>
  </si>
  <si>
    <t>型番</t>
    <rPh sb="0" eb="2">
      <t>カタバｎン</t>
    </rPh>
    <phoneticPr fontId="1"/>
  </si>
  <si>
    <t>製造元</t>
    <rPh sb="0" eb="3">
      <t>セイゾウ</t>
    </rPh>
    <phoneticPr fontId="1"/>
  </si>
  <si>
    <t>YOKOGAWA</t>
    <phoneticPr fontId="1"/>
  </si>
  <si>
    <t>FUJIDENKI</t>
    <phoneticPr fontId="1"/>
  </si>
  <si>
    <t>NO.514 7B 143</t>
    <phoneticPr fontId="1"/>
  </si>
  <si>
    <t>TD</t>
    <phoneticPr fontId="1"/>
  </si>
  <si>
    <t>NO.090225T</t>
    <phoneticPr fontId="1"/>
  </si>
  <si>
    <t>TS</t>
    <phoneticPr fontId="1"/>
  </si>
  <si>
    <t>020059T</t>
    <phoneticPr fontId="1"/>
  </si>
  <si>
    <t>NO.090231T</t>
    <phoneticPr fontId="1"/>
  </si>
  <si>
    <t>71AD00014</t>
    <phoneticPr fontId="1"/>
  </si>
  <si>
    <t>YAS1991</t>
    <phoneticPr fontId="1"/>
  </si>
  <si>
    <t>71AD00035</t>
    <phoneticPr fontId="1"/>
  </si>
  <si>
    <t>1965</t>
    <phoneticPr fontId="1"/>
  </si>
  <si>
    <t>NO.M515B305</t>
    <phoneticPr fontId="1"/>
  </si>
  <si>
    <t>1970</t>
    <phoneticPr fontId="1"/>
  </si>
  <si>
    <t>M0B623</t>
    <phoneticPr fontId="1"/>
  </si>
  <si>
    <t>S-130-20</t>
    <phoneticPr fontId="1"/>
  </si>
  <si>
    <t>S7-0484</t>
    <phoneticPr fontId="1"/>
  </si>
  <si>
    <t>YAMABISHI</t>
    <phoneticPr fontId="1"/>
  </si>
  <si>
    <t>ﾁﾄｾ電機株式会社</t>
    <rPh sb="3" eb="5">
      <t>💡</t>
    </rPh>
    <rPh sb="5" eb="9">
      <t>カｂウ</t>
    </rPh>
    <phoneticPr fontId="1"/>
  </si>
  <si>
    <t>B-571</t>
    <phoneticPr fontId="1"/>
  </si>
  <si>
    <t>單相変圧器</t>
    <rPh sb="1" eb="2">
      <t>ソウ</t>
    </rPh>
    <rPh sb="2" eb="5">
      <t>ヘｎン</t>
    </rPh>
    <phoneticPr fontId="1"/>
  </si>
  <si>
    <t>正規結線</t>
  </si>
  <si>
    <t>正規結線</t>
    <rPh sb="0" eb="4">
      <t>セイキケｓｓエ</t>
    </rPh>
    <phoneticPr fontId="1"/>
  </si>
  <si>
    <t>相電圧</t>
    <rPh sb="0" eb="3">
      <t>ソウデンアｔウ</t>
    </rPh>
    <phoneticPr fontId="1"/>
  </si>
  <si>
    <t>線間電圧</t>
  </si>
  <si>
    <t>線間電圧</t>
    <rPh sb="0" eb="4">
      <t>センカｎン</t>
    </rPh>
    <phoneticPr fontId="1"/>
  </si>
  <si>
    <t>一次側</t>
  </si>
  <si>
    <t>一次側</t>
    <rPh sb="0" eb="3">
      <t>1ｚイ</t>
    </rPh>
    <phoneticPr fontId="1"/>
  </si>
  <si>
    <t>v_1-u_1 [V]</t>
    <phoneticPr fontId="1"/>
  </si>
  <si>
    <t>v_2-u_2 [V]</t>
    <phoneticPr fontId="1"/>
  </si>
  <si>
    <t>v_3-u_3 [V]</t>
    <phoneticPr fontId="1"/>
  </si>
  <si>
    <t>u_1-u_2 [V]</t>
  </si>
  <si>
    <t>u_1-u_2 [V]</t>
    <phoneticPr fontId="1"/>
  </si>
  <si>
    <t>u_2-u_3 [V]</t>
  </si>
  <si>
    <t>u_2-u_3 [V]</t>
    <phoneticPr fontId="1"/>
  </si>
  <si>
    <t>u_3-u_1 [V]</t>
  </si>
  <si>
    <t>u_3-u_1 [V]</t>
    <phoneticPr fontId="1"/>
  </si>
  <si>
    <t>誤結線</t>
  </si>
  <si>
    <t>誤結線</t>
    <rPh sb="0" eb="3">
      <t>ゴケッセｎン</t>
    </rPh>
    <phoneticPr fontId="1"/>
  </si>
  <si>
    <t>二次側</t>
  </si>
  <si>
    <t>二次側</t>
    <rPh sb="0" eb="1">
      <t>2</t>
    </rPh>
    <phoneticPr fontId="1"/>
  </si>
  <si>
    <t>deltaループを開く</t>
    <rPh sb="9" eb="10">
      <t>ヒラｋウ</t>
    </rPh>
    <phoneticPr fontId="1"/>
  </si>
  <si>
    <t>0V</t>
    <phoneticPr fontId="1"/>
  </si>
  <si>
    <t>端子ab</t>
    <rPh sb="0" eb="2">
      <t>タンｓイ</t>
    </rPh>
    <phoneticPr fontId="1"/>
  </si>
  <si>
    <t>u_2-v_2 [V]</t>
    <phoneticPr fontId="1"/>
  </si>
  <si>
    <t>u_1-v_2 [V]</t>
    <phoneticPr fontId="1"/>
  </si>
  <si>
    <t>NewFile0.bmp</t>
  </si>
  <si>
    <t>一次</t>
    <rPh sb="0" eb="2">
      <t xml:space="preserve">イチジ </t>
    </rPh>
    <phoneticPr fontId="1"/>
  </si>
  <si>
    <t>相</t>
    <rPh sb="0" eb="1">
      <t xml:space="preserve">ソウ </t>
    </rPh>
    <phoneticPr fontId="1"/>
  </si>
  <si>
    <t>線間</t>
    <rPh sb="0" eb="2">
      <t>センカｎン</t>
    </rPh>
    <phoneticPr fontId="1"/>
  </si>
  <si>
    <t>二次</t>
    <rPh sb="0" eb="2">
      <t>ニジ</t>
    </rPh>
    <phoneticPr fontId="1"/>
  </si>
  <si>
    <t>励磁電流</t>
    <rPh sb="0" eb="4">
      <t>レイジデンリュウ</t>
    </rPh>
    <phoneticPr fontId="1"/>
  </si>
  <si>
    <t>NewFile1.bmp</t>
  </si>
  <si>
    <t>NewFile2.bmp</t>
  </si>
  <si>
    <t>NewFile3.bmp</t>
  </si>
  <si>
    <t>NewFile5.bmp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</si>
</sst>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000"/>
    <numFmt numFmtId="183" formatCode="0.0_);[Red]\(0.0\)"/>
  </numFmts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176" fontId="0" fillId="0" borderId="2" xfId="0" applyNumberFormat="1" applyBorder="1">
      <alignment vertical="center"/>
    </xf>
    <xf numFmtId="2" fontId="0" fillId="0" borderId="2" xfId="0" applyNumberFormat="1" applyBorder="1">
      <alignment vertical="center"/>
    </xf>
    <xf numFmtId="2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11" xfId="0" applyNumberFormat="1" applyBorder="1">
      <alignment vertical="center"/>
    </xf>
    <xf numFmtId="176" fontId="0" fillId="0" borderId="12" xfId="0" applyNumberFormat="1" applyBorder="1">
      <alignment vertical="center"/>
    </xf>
    <xf numFmtId="2" fontId="0" fillId="0" borderId="7" xfId="0" applyNumberFormat="1" applyBorder="1">
      <alignment vertical="center"/>
    </xf>
    <xf numFmtId="2" fontId="0" fillId="0" borderId="9" xfId="0" applyNumberFormat="1" applyBorder="1">
      <alignment vertical="center"/>
    </xf>
    <xf numFmtId="2" fontId="0" fillId="0" borderId="11" xfId="0" applyNumberFormat="1" applyBorder="1">
      <alignment vertical="center"/>
    </xf>
    <xf numFmtId="2" fontId="0" fillId="0" borderId="6" xfId="0" applyNumberFormat="1" applyBorder="1">
      <alignment vertical="center"/>
    </xf>
    <xf numFmtId="1" fontId="0" fillId="0" borderId="2" xfId="0" applyNumberFormat="1" applyBorder="1">
      <alignment vertical="center"/>
    </xf>
    <xf numFmtId="177" fontId="0" fillId="0" borderId="9" xfId="0" applyNumberFormat="1" applyBorder="1">
      <alignment vertical="center"/>
    </xf>
    <xf numFmtId="176" fontId="0" fillId="0" borderId="13" xfId="0" applyNumberFormat="1" applyBorder="1">
      <alignment vertical="center"/>
    </xf>
    <xf numFmtId="176" fontId="0" fillId="0" borderId="14" xfId="0" applyNumberFormat="1" applyBorder="1">
      <alignment vertical="center"/>
    </xf>
    <xf numFmtId="1" fontId="0" fillId="0" borderId="14" xfId="0" applyNumberFormat="1" applyBorder="1">
      <alignment vertical="center"/>
    </xf>
    <xf numFmtId="2" fontId="0" fillId="0" borderId="13" xfId="0" applyNumberFormat="1" applyBorder="1">
      <alignment vertical="center"/>
    </xf>
    <xf numFmtId="2" fontId="0" fillId="0" borderId="14" xfId="0" applyNumberFormat="1" applyBorder="1">
      <alignment vertical="center"/>
    </xf>
    <xf numFmtId="176" fontId="0" fillId="0" borderId="15" xfId="0" applyNumberFormat="1" applyBorder="1">
      <alignment vertical="center"/>
    </xf>
    <xf numFmtId="2" fontId="0" fillId="0" borderId="15" xfId="0" applyNumberFormat="1" applyBorder="1">
      <alignment vertical="center"/>
    </xf>
    <xf numFmtId="1" fontId="0" fillId="0" borderId="16" xfId="0" applyNumberFormat="1" applyBorder="1">
      <alignment vertical="center"/>
    </xf>
    <xf numFmtId="177" fontId="0" fillId="0" borderId="12" xfId="0" applyNumberFormat="1" applyBorder="1">
      <alignment vertical="center"/>
    </xf>
    <xf numFmtId="2" fontId="0" fillId="0" borderId="17" xfId="0" applyNumberFormat="1" applyBorder="1">
      <alignment vertical="center"/>
    </xf>
    <xf numFmtId="178" fontId="0" fillId="0" borderId="18" xfId="0" applyNumberFormat="1" applyBorder="1">
      <alignment vertical="center"/>
    </xf>
    <xf numFmtId="183" fontId="0" fillId="0" borderId="0" xfId="0" applyNumberFormat="1">
      <alignment vertical="center"/>
    </xf>
    <xf numFmtId="49" fontId="0" fillId="0" borderId="19" xfId="0" applyNumberFormat="1" applyBorder="1">
      <alignment vertical="center"/>
    </xf>
    <xf numFmtId="49" fontId="0" fillId="0" borderId="20" xfId="0" applyNumberFormat="1" applyBorder="1">
      <alignment vertical="center"/>
    </xf>
    <xf numFmtId="183" fontId="0" fillId="0" borderId="21" xfId="0" applyNumberFormat="1" applyBorder="1">
      <alignment vertical="center"/>
    </xf>
    <xf numFmtId="49" fontId="0" fillId="0" borderId="22" xfId="0" applyNumberFormat="1" applyBorder="1">
      <alignment vertical="center"/>
    </xf>
    <xf numFmtId="49" fontId="0" fillId="0" borderId="0" xfId="0" applyNumberFormat="1" applyBorder="1">
      <alignment vertical="center"/>
    </xf>
    <xf numFmtId="183" fontId="0" fillId="0" borderId="23" xfId="0" applyNumberFormat="1" applyBorder="1">
      <alignment vertical="center"/>
    </xf>
    <xf numFmtId="49" fontId="0" fillId="0" borderId="24" xfId="0" applyNumberFormat="1" applyBorder="1">
      <alignment vertical="center"/>
    </xf>
    <xf numFmtId="49" fontId="0" fillId="0" borderId="25" xfId="0" applyNumberFormat="1" applyBorder="1">
      <alignment vertical="center"/>
    </xf>
    <xf numFmtId="183" fontId="0" fillId="0" borderId="26" xfId="0" applyNumberFormat="1" applyBorder="1">
      <alignment vertical="center"/>
    </xf>
    <xf numFmtId="49" fontId="0" fillId="0" borderId="27" xfId="0" applyNumberFormat="1" applyBorder="1">
      <alignment vertical="center"/>
    </xf>
    <xf numFmtId="49" fontId="0" fillId="0" borderId="14" xfId="0" applyNumberFormat="1" applyBorder="1">
      <alignment vertical="center"/>
    </xf>
    <xf numFmtId="49" fontId="0" fillId="0" borderId="2" xfId="0" applyNumberFormat="1" applyBorder="1">
      <alignment vertical="center"/>
    </xf>
    <xf numFmtId="49" fontId="2" fillId="0" borderId="27" xfId="0" applyNumberFormat="1" applyFont="1" applyBorder="1">
      <alignment vertical="center"/>
    </xf>
    <xf numFmtId="49" fontId="3" fillId="0" borderId="27" xfId="0" applyNumberFormat="1" applyFont="1" applyBorder="1">
      <alignment vertical="center"/>
    </xf>
    <xf numFmtId="49" fontId="3" fillId="0" borderId="21" xfId="0" applyNumberFormat="1" applyFont="1" applyBorder="1">
      <alignment vertical="center"/>
    </xf>
    <xf numFmtId="49" fontId="3" fillId="0" borderId="20" xfId="0" applyNumberFormat="1" applyFont="1" applyBorder="1">
      <alignment vertical="center"/>
    </xf>
    <xf numFmtId="183" fontId="3" fillId="0" borderId="21" xfId="0" applyNumberFormat="1" applyFont="1" applyBorder="1">
      <alignment vertical="center"/>
    </xf>
    <xf numFmtId="49" fontId="3" fillId="0" borderId="14" xfId="0" applyNumberFormat="1" applyFont="1" applyBorder="1">
      <alignment vertical="center"/>
    </xf>
    <xf numFmtId="49" fontId="3" fillId="0" borderId="23" xfId="0" applyNumberFormat="1" applyFont="1" applyBorder="1">
      <alignment vertical="center"/>
    </xf>
    <xf numFmtId="49" fontId="3" fillId="0" borderId="0" xfId="0" applyNumberFormat="1" applyFont="1">
      <alignment vertical="center"/>
    </xf>
    <xf numFmtId="183" fontId="3" fillId="0" borderId="23" xfId="0" applyNumberFormat="1" applyFont="1" applyBorder="1">
      <alignment vertical="center"/>
    </xf>
    <xf numFmtId="49" fontId="3" fillId="0" borderId="26" xfId="0" applyNumberFormat="1" applyFont="1" applyBorder="1">
      <alignment vertical="center"/>
    </xf>
    <xf numFmtId="49" fontId="3" fillId="0" borderId="25" xfId="0" applyNumberFormat="1" applyFont="1" applyBorder="1">
      <alignment vertical="center"/>
    </xf>
    <xf numFmtId="183" fontId="3" fillId="0" borderId="26" xfId="0" applyNumberFormat="1" applyFont="1" applyBorder="1">
      <alignment vertical="center"/>
    </xf>
    <xf numFmtId="49" fontId="3" fillId="0" borderId="2" xfId="0" applyNumberFormat="1" applyFont="1" applyBorder="1">
      <alignment vertical="center"/>
    </xf>
    <xf numFmtId="183" fontId="3" fillId="0" borderId="0" xfId="0" applyNumberFormat="1" applyFont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49" fontId="3" fillId="0" borderId="19" xfId="0" applyNumberFormat="1" applyFont="1" applyBorder="1">
      <alignment vertical="center"/>
    </xf>
    <xf numFmtId="0" fontId="0" fillId="0" borderId="22" xfId="0" applyBorder="1">
      <alignment vertical="center"/>
    </xf>
    <xf numFmtId="49" fontId="3" fillId="0" borderId="22" xfId="0" applyNumberFormat="1" applyFont="1" applyBorder="1">
      <alignment vertical="center"/>
    </xf>
    <xf numFmtId="49" fontId="3" fillId="0" borderId="24" xfId="0" applyNumberFormat="1" applyFont="1" applyBorder="1">
      <alignment vertical="center"/>
    </xf>
    <xf numFmtId="49" fontId="0" fillId="0" borderId="0" xfId="0" applyNumberFormat="1" applyFill="1" applyBorder="1">
      <alignment vertical="center"/>
    </xf>
  </cellXfs>
  <cellStyles count="1">
    <cellStyle name="標準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1"/>
          <c:tx>
            <c:strRef>
              <c:f>'実験2.1 無負荷試験'!$F$2</c:f>
              <c:strCache>
                <c:ptCount val="1"/>
                <c:pt idx="0">
                  <c:v>W_i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'実験2.1 無負荷試験'!$B$3:$B$13</c:f>
              <c:numCache>
                <c:formatCode>0.0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'実験2.1 無負荷試験'!$F$3:$F$13</c:f>
              <c:numCache>
                <c:formatCode>0.00</c:formatCode>
                <c:ptCount val="11"/>
                <c:pt idx="0">
                  <c:v>0</c:v>
                </c:pt>
                <c:pt idx="1">
                  <c:v>0.06</c:v>
                </c:pt>
                <c:pt idx="2">
                  <c:v>0.42000000000000004</c:v>
                </c:pt>
                <c:pt idx="3">
                  <c:v>1.1599999999999999</c:v>
                </c:pt>
                <c:pt idx="4">
                  <c:v>2.1</c:v>
                </c:pt>
                <c:pt idx="5">
                  <c:v>3.2</c:v>
                </c:pt>
                <c:pt idx="6">
                  <c:v>4.4400000000000004</c:v>
                </c:pt>
                <c:pt idx="7">
                  <c:v>5.98</c:v>
                </c:pt>
                <c:pt idx="8">
                  <c:v>7.9</c:v>
                </c:pt>
                <c:pt idx="9">
                  <c:v>10.740000000000002</c:v>
                </c:pt>
                <c:pt idx="10">
                  <c:v>15.100000000000001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39-4446-8BE0-C516341EBDC3}"/>
            </c:ext>
          </c:extLst>
        </c:ser>
        <c:ser>
          <c:idx val="0"/>
          <c:order val="3"/>
          <c:tx>
            <c:strRef>
              <c:f>'実験2.1 無負荷試験'!$E$2</c:f>
              <c:strCache>
                <c:ptCount val="1"/>
                <c:pt idx="0">
                  <c:v>W_0 [W]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Lit>
              <c:ptCount val="1"/>
              <c:pt idx="0">
                <c:v>''実験2.1 無負荷試験'!$B$3:$B$13</c:v>
              </c:pt>
            </c:strLit>
          </c:xVal>
          <c:yVal>
            <c:numRef>
              <c:f>'実験2.1 無負荷試験'!$E$3:$E$13</c:f>
              <c:numCache>
                <c:formatCode>General</c:formatCode>
                <c:ptCount val="11"/>
                <c:pt idx="0">
                  <c:v>0</c:v>
                </c:pt>
                <c:pt idx="1">
                  <c:v>0.06</c:v>
                </c:pt>
                <c:pt idx="2">
                  <c:v>0.42000000000000004</c:v>
                </c:pt>
                <c:pt idx="3">
                  <c:v>1.1599999999999999</c:v>
                </c:pt>
                <c:pt idx="4">
                  <c:v>2.1</c:v>
                </c:pt>
                <c:pt idx="5">
                  <c:v>3.2</c:v>
                </c:pt>
                <c:pt idx="6">
                  <c:v>4.4400000000000004</c:v>
                </c:pt>
                <c:pt idx="7">
                  <c:v>5.98</c:v>
                </c:pt>
                <c:pt idx="8">
                  <c:v>7.9</c:v>
                </c:pt>
                <c:pt idx="9">
                  <c:v>10.740000000000002</c:v>
                </c:pt>
                <c:pt idx="10">
                  <c:v>15.100000000000001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339-4446-8BE0-C516341EB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480831"/>
        <c:axId val="859482623"/>
      </c:scatterChart>
      <c:scatterChart>
        <c:scatterStyle val="lineMarker"/>
        <c:varyColors val="0"/>
        <c:ser>
          <c:idx val="1"/>
          <c:order val="0"/>
          <c:tx>
            <c:strRef>
              <c:f>'実験2.1 無負荷試験'!$D$2</c:f>
              <c:strCache>
                <c:ptCount val="1"/>
                <c:pt idx="0">
                  <c:v>I_0 [A]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'実験2.1 無負荷試験'!$B$3:$B$13</c:f>
              <c:numCache>
                <c:formatCode>0.0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'実験2.1 無負荷試験'!$D$3:$D$13</c:f>
              <c:numCache>
                <c:formatCode>0.0000</c:formatCode>
                <c:ptCount val="11"/>
                <c:pt idx="0" formatCode="0.00">
                  <c:v>0</c:v>
                </c:pt>
                <c:pt idx="1">
                  <c:v>3.8899999999999997E-2</c:v>
                </c:pt>
                <c:pt idx="2">
                  <c:v>5.9499999999999997E-2</c:v>
                </c:pt>
                <c:pt idx="3">
                  <c:v>7.9000000000000001E-2</c:v>
                </c:pt>
                <c:pt idx="4" formatCode="General">
                  <c:v>0.11</c:v>
                </c:pt>
                <c:pt idx="5" formatCode="General">
                  <c:v>0.13</c:v>
                </c:pt>
                <c:pt idx="6" formatCode="General">
                  <c:v>0.17</c:v>
                </c:pt>
                <c:pt idx="7" formatCode="General">
                  <c:v>0.23</c:v>
                </c:pt>
                <c:pt idx="8" formatCode="General">
                  <c:v>0.34</c:v>
                </c:pt>
                <c:pt idx="9" formatCode="General">
                  <c:v>0.51</c:v>
                </c:pt>
                <c:pt idx="10" formatCode="General">
                  <c:v>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39-4446-8BE0-C516341EBDC3}"/>
            </c:ext>
          </c:extLst>
        </c:ser>
        <c:ser>
          <c:idx val="4"/>
          <c:order val="2"/>
          <c:tx>
            <c:strRef>
              <c:f>'実験2.1 無負荷試験'!$G$2</c:f>
              <c:strCache>
                <c:ptCount val="1"/>
                <c:pt idx="0">
                  <c:v>p.f.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'実験2.1 無負荷試験'!$B$3:$B$13</c:f>
              <c:numCache>
                <c:formatCode>0.0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'実験2.1 無負荷試験'!$G$3:$G$13</c:f>
              <c:numCache>
                <c:formatCode>General</c:formatCode>
                <c:ptCount val="11"/>
                <c:pt idx="1">
                  <c:v>0.15424164524421594</c:v>
                </c:pt>
                <c:pt idx="2">
                  <c:v>0.35294117647058826</c:v>
                </c:pt>
                <c:pt idx="3">
                  <c:v>0.48945147679324891</c:v>
                </c:pt>
                <c:pt idx="4">
                  <c:v>0.47727272727272724</c:v>
                </c:pt>
                <c:pt idx="5">
                  <c:v>0.49230769230769234</c:v>
                </c:pt>
                <c:pt idx="6">
                  <c:v>0.43529411764705883</c:v>
                </c:pt>
                <c:pt idx="7">
                  <c:v>0.37142857142857144</c:v>
                </c:pt>
                <c:pt idx="8">
                  <c:v>0.2904411764705882</c:v>
                </c:pt>
                <c:pt idx="9">
                  <c:v>0.23398692810457522</c:v>
                </c:pt>
                <c:pt idx="10">
                  <c:v>0.1986842105263158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339-4446-8BE0-C516341EB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972799"/>
        <c:axId val="890831295"/>
      </c:scatterChart>
      <c:valAx>
        <c:axId val="85948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9482623"/>
        <c:crosses val="autoZero"/>
        <c:crossBetween val="midCat"/>
      </c:valAx>
      <c:valAx>
        <c:axId val="85948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9480831"/>
        <c:crosses val="autoZero"/>
        <c:crossBetween val="midCat"/>
      </c:valAx>
      <c:valAx>
        <c:axId val="890831295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9972799"/>
        <c:crosses val="max"/>
        <c:crossBetween val="midCat"/>
      </c:valAx>
      <c:valAx>
        <c:axId val="859972799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890831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'実験2.2 実負荷試験'!$I$2</c:f>
              <c:strCache>
                <c:ptCount val="1"/>
                <c:pt idx="0">
                  <c:v>V_2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0894224128227935"/>
                  <c:y val="-8.17740042917580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'実験2.2 実負荷試験'!$H$3:$H$8</c:f>
              <c:numCache>
                <c:formatCode>0.00</c:formatCode>
                <c:ptCount val="6"/>
                <c:pt idx="0">
                  <c:v>6.25</c:v>
                </c:pt>
                <c:pt idx="1">
                  <c:v>5</c:v>
                </c:pt>
                <c:pt idx="2">
                  <c:v>3.75</c:v>
                </c:pt>
                <c:pt idx="3">
                  <c:v>2.5</c:v>
                </c:pt>
                <c:pt idx="4">
                  <c:v>1.25</c:v>
                </c:pt>
                <c:pt idx="5">
                  <c:v>0.9</c:v>
                </c:pt>
              </c:numCache>
            </c:numRef>
          </c:xVal>
          <c:yVal>
            <c:numRef>
              <c:f>'実験2.2 実負荷試験'!$I$3:$I$8</c:f>
              <c:numCache>
                <c:formatCode>0.0</c:formatCode>
                <c:ptCount val="6"/>
                <c:pt idx="0">
                  <c:v>109.9</c:v>
                </c:pt>
                <c:pt idx="1">
                  <c:v>111.7</c:v>
                </c:pt>
                <c:pt idx="2">
                  <c:v>111.5</c:v>
                </c:pt>
                <c:pt idx="3">
                  <c:v>113.2</c:v>
                </c:pt>
                <c:pt idx="4">
                  <c:v>113.2</c:v>
                </c:pt>
                <c:pt idx="5">
                  <c:v>114.2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86-3146-AE38-65B4D788FD03}"/>
            </c:ext>
          </c:extLst>
        </c:ser>
        <c:ser>
          <c:idx val="1"/>
          <c:order val="1"/>
          <c:tx>
            <c:strRef>
              <c:f>'実験2.2 実負荷試験'!$B$2</c:f>
              <c:strCache>
                <c:ptCount val="1"/>
                <c:pt idx="0">
                  <c:v>V_1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'実験2.2 実負荷試験'!$H$3:$H$8</c:f>
              <c:numCache>
                <c:formatCode>0.00</c:formatCode>
                <c:ptCount val="6"/>
                <c:pt idx="0">
                  <c:v>6.25</c:v>
                </c:pt>
                <c:pt idx="1">
                  <c:v>5</c:v>
                </c:pt>
                <c:pt idx="2">
                  <c:v>3.75</c:v>
                </c:pt>
                <c:pt idx="3">
                  <c:v>2.5</c:v>
                </c:pt>
                <c:pt idx="4">
                  <c:v>1.25</c:v>
                </c:pt>
                <c:pt idx="5">
                  <c:v>0.9</c:v>
                </c:pt>
              </c:numCache>
            </c:numRef>
          </c:xVal>
          <c:yVal>
            <c:numRef>
              <c:f>'実験2.2 実負荷試験'!$B$3:$B$8</c:f>
              <c:numCache>
                <c:formatCode>0.0</c:formatCode>
                <c:ptCount val="6"/>
                <c:pt idx="0">
                  <c:v>105.8</c:v>
                </c:pt>
                <c:pt idx="1">
                  <c:v>105.8</c:v>
                </c:pt>
                <c:pt idx="2">
                  <c:v>105.2</c:v>
                </c:pt>
                <c:pt idx="3">
                  <c:v>105.8</c:v>
                </c:pt>
                <c:pt idx="4">
                  <c:v>105.8</c:v>
                </c:pt>
                <c:pt idx="5">
                  <c:v>105.9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86-3146-AE38-65B4D788F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833087"/>
        <c:axId val="890845631"/>
      </c:scatterChart>
      <c:scatterChart>
        <c:scatterStyle val="lineMarker"/>
        <c:varyColors val="0"/>
        <c:ser>
          <c:idx val="2"/>
          <c:order val="2"/>
          <c:tx>
            <c:strRef>
              <c:f>'実験2.2 実負荷試験'!$J$2</c:f>
              <c:strCache>
                <c:ptCount val="1"/>
                <c:pt idx="0">
                  <c:v>効率n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'実験2.2 実負荷試験'!$H$3:$H$8</c:f>
              <c:numCache>
                <c:formatCode>0.00</c:formatCode>
                <c:ptCount val="6"/>
                <c:pt idx="0">
                  <c:v>6.25</c:v>
                </c:pt>
                <c:pt idx="1">
                  <c:v>5</c:v>
                </c:pt>
                <c:pt idx="2">
                  <c:v>3.75</c:v>
                </c:pt>
                <c:pt idx="3">
                  <c:v>2.5</c:v>
                </c:pt>
                <c:pt idx="4">
                  <c:v>1.25</c:v>
                </c:pt>
                <c:pt idx="5">
                  <c:v>0.9</c:v>
                </c:pt>
              </c:numCache>
            </c:numRef>
          </c:xVal>
          <c:yVal>
            <c:numRef>
              <c:f>'実験2.2 実負荷試験'!$J$3:$J$8</c:f>
              <c:numCache>
                <c:formatCode>0.00</c:formatCode>
                <c:ptCount val="6"/>
                <c:pt idx="0">
                  <c:v>0.94482758620689655</c:v>
                </c:pt>
                <c:pt idx="1">
                  <c:v>0.9568965517241379</c:v>
                </c:pt>
                <c:pt idx="2">
                  <c:v>0.95227272727272727</c:v>
                </c:pt>
                <c:pt idx="3">
                  <c:v>0.92988929889298888</c:v>
                </c:pt>
                <c:pt idx="4">
                  <c:v>0.91975308641975306</c:v>
                </c:pt>
                <c:pt idx="5">
                  <c:v>0.83333333333333337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86-3146-AE38-65B4D788F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471871"/>
        <c:axId val="860051135"/>
      </c:scatterChart>
      <c:valAx>
        <c:axId val="89083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0845631"/>
        <c:crosses val="autoZero"/>
        <c:crossBetween val="midCat"/>
      </c:valAx>
      <c:valAx>
        <c:axId val="890845631"/>
        <c:scaling>
          <c:orientation val="minMax"/>
          <c:max val="125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90833087"/>
        <c:crosses val="autoZero"/>
        <c:crossBetween val="midCat"/>
      </c:valAx>
      <c:valAx>
        <c:axId val="860051135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9471871"/>
        <c:crosses val="max"/>
        <c:crossBetween val="midCat"/>
      </c:valAx>
      <c:valAx>
        <c:axId val="859471871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860051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472441</xdr:colOff>
      <xdr:row>4</xdr:row>
      <xdr:rowOff>39650</xdr:rowOff>
    </xdr:from>
    <xdr:to>
      <xdr:col>13</xdr:col>
      <xdr:colOff>404707</xdr:colOff>
      <xdr:row>23</xdr:row>
      <xdr:rowOff>90507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CBA9908-E029-9E39-08AE-484B50800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880418</xdr:colOff>
      <xdr:row>10</xdr:row>
      <xdr:rowOff>145879</xdr:rowOff>
    </xdr:from>
    <xdr:to>
      <xdr:col>10</xdr:col>
      <xdr:colOff>689918</xdr:colOff>
      <xdr:row>24</xdr:row>
      <xdr:rowOff>24369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481706A-2701-22DB-07D6-907988EB0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863D-7B3E-5844-8432-D605E6CF5562}">
  <dimension ref="B2:J22"/>
  <sheetViews>
    <sheetView tabSelected="1" zoomScale="115" workbookViewId="0">
      <selection activeCell="L27" sqref="L27"/>
    </sheetView>
  </sheetViews>
  <sheetFormatPr baseColWidth="10" defaultRowHeight="20"/>
  <cols>
    <col min="6" max="6" width="9.7109375" customWidth="1"/>
  </cols>
  <sheetData>
    <row r="2" spans="2:10">
      <c r="B2" s="6" t="s">
        <v>6</v>
      </c>
      <c r="C2" s="6" t="s">
        <v>7</v>
      </c>
      <c r="D2" s="6" t="s">
        <v>4</v>
      </c>
      <c r="E2" s="6" t="s">
        <v>5</v>
      </c>
      <c r="F2" s="6" t="s">
        <v>0</v>
      </c>
      <c r="G2" s="6" t="s">
        <v>1</v>
      </c>
      <c r="H2" s="6"/>
      <c r="I2" s="6" t="s">
        <v>2</v>
      </c>
      <c r="J2" s="6"/>
    </row>
    <row r="3" spans="2:10">
      <c r="B3" s="4">
        <v>0</v>
      </c>
      <c r="C3" s="4">
        <v>0</v>
      </c>
      <c r="D3" s="5">
        <v>0</v>
      </c>
      <c r="E3">
        <f>C3*0.2</f>
        <v>0</v>
      </c>
      <c r="F3" s="5">
        <f>E3-((D3^2)*J3)</f>
        <v>0</v>
      </c>
      <c r="I3" t="s">
        <v>3</v>
      </c>
      <c r="J3">
        <v>0.20599999999999999</v>
      </c>
    </row>
    <row r="4" spans="2:10">
      <c r="B4" s="4">
        <v>10</v>
      </c>
      <c r="C4" s="4">
        <v>0.3</v>
      </c>
      <c r="D4" s="7">
        <v>3.8899999999999997E-2</v>
      </c>
      <c r="E4">
        <f t="shared" ref="E4:E12" si="0">C4*0.2</f>
        <v>0.06</v>
      </c>
      <c r="F4" s="5">
        <f t="shared" ref="F4:F13" si="1">E4-((D4^2)*J4)</f>
        <v>0.06</v>
      </c>
      <c r="G4">
        <f>E4/(B4*D4)</f>
        <v>0.15424164524421594</v>
      </c>
    </row>
    <row r="5" spans="2:10">
      <c r="B5" s="4">
        <v>20</v>
      </c>
      <c r="C5" s="4">
        <v>2.1</v>
      </c>
      <c r="D5" s="7">
        <v>5.9499999999999997E-2</v>
      </c>
      <c r="E5">
        <f t="shared" si="0"/>
        <v>0.42000000000000004</v>
      </c>
      <c r="F5" s="5">
        <f t="shared" si="1"/>
        <v>0.42000000000000004</v>
      </c>
      <c r="G5">
        <f t="shared" ref="G5:G13" si="2">E5/(B5*D5)</f>
        <v>0.35294117647058826</v>
      </c>
    </row>
    <row r="6" spans="2:10">
      <c r="B6" s="4">
        <v>30</v>
      </c>
      <c r="C6" s="4">
        <v>5.8</v>
      </c>
      <c r="D6" s="7">
        <v>7.9000000000000001E-2</v>
      </c>
      <c r="E6">
        <f t="shared" si="0"/>
        <v>1.1599999999999999</v>
      </c>
      <c r="F6" s="5">
        <f t="shared" si="1"/>
        <v>1.1599999999999999</v>
      </c>
      <c r="G6">
        <f t="shared" si="2"/>
        <v>0.48945147679324891</v>
      </c>
    </row>
    <row r="7" spans="2:10">
      <c r="B7" s="4">
        <v>40</v>
      </c>
      <c r="C7" s="4">
        <v>10.5</v>
      </c>
      <c r="D7">
        <v>0.11</v>
      </c>
      <c r="E7">
        <f t="shared" si="0"/>
        <v>2.1</v>
      </c>
      <c r="F7" s="5">
        <f t="shared" si="1"/>
        <v>2.1</v>
      </c>
      <c r="G7">
        <f t="shared" si="2"/>
        <v>0.47727272727272724</v>
      </c>
    </row>
    <row r="8" spans="2:10">
      <c r="B8" s="4">
        <v>50</v>
      </c>
      <c r="C8" s="4">
        <v>16</v>
      </c>
      <c r="D8">
        <v>0.13</v>
      </c>
      <c r="E8">
        <f t="shared" si="0"/>
        <v>3.2</v>
      </c>
      <c r="F8" s="5">
        <f t="shared" si="1"/>
        <v>3.2</v>
      </c>
      <c r="G8">
        <f t="shared" si="2"/>
        <v>0.49230769230769234</v>
      </c>
    </row>
    <row r="9" spans="2:10">
      <c r="B9" s="4">
        <v>60</v>
      </c>
      <c r="C9" s="4">
        <v>22.2</v>
      </c>
      <c r="D9">
        <v>0.17</v>
      </c>
      <c r="E9">
        <f t="shared" si="0"/>
        <v>4.4400000000000004</v>
      </c>
      <c r="F9" s="5">
        <f t="shared" si="1"/>
        <v>4.4400000000000004</v>
      </c>
      <c r="G9">
        <f t="shared" si="2"/>
        <v>0.43529411764705883</v>
      </c>
    </row>
    <row r="10" spans="2:10">
      <c r="B10" s="4">
        <v>70</v>
      </c>
      <c r="C10" s="4">
        <v>29.9</v>
      </c>
      <c r="D10">
        <v>0.23</v>
      </c>
      <c r="E10">
        <f t="shared" si="0"/>
        <v>5.98</v>
      </c>
      <c r="F10" s="5">
        <f t="shared" si="1"/>
        <v>5.98</v>
      </c>
      <c r="G10">
        <f t="shared" si="2"/>
        <v>0.37142857142857144</v>
      </c>
    </row>
    <row r="11" spans="2:10">
      <c r="B11" s="4">
        <v>80</v>
      </c>
      <c r="C11" s="4">
        <v>39.5</v>
      </c>
      <c r="D11">
        <v>0.34</v>
      </c>
      <c r="E11">
        <f t="shared" si="0"/>
        <v>7.9</v>
      </c>
      <c r="F11" s="5">
        <f t="shared" si="1"/>
        <v>7.9</v>
      </c>
      <c r="G11">
        <f t="shared" si="2"/>
        <v>0.2904411764705882</v>
      </c>
    </row>
    <row r="12" spans="2:10">
      <c r="B12" s="4">
        <v>90</v>
      </c>
      <c r="C12" s="4">
        <v>53.7</v>
      </c>
      <c r="D12">
        <v>0.51</v>
      </c>
      <c r="E12">
        <f t="shared" si="0"/>
        <v>10.740000000000002</v>
      </c>
      <c r="F12" s="5">
        <f t="shared" si="1"/>
        <v>10.740000000000002</v>
      </c>
      <c r="G12">
        <f t="shared" si="2"/>
        <v>0.23398692810457522</v>
      </c>
    </row>
    <row r="13" spans="2:10">
      <c r="B13" s="4">
        <v>100</v>
      </c>
      <c r="C13" s="4">
        <v>75.5</v>
      </c>
      <c r="D13">
        <v>0.76</v>
      </c>
      <c r="E13">
        <f>C13*0.2</f>
        <v>15.100000000000001</v>
      </c>
      <c r="F13" s="5">
        <f t="shared" si="1"/>
        <v>15.100000000000001</v>
      </c>
      <c r="G13">
        <f t="shared" si="2"/>
        <v>0.1986842105263158</v>
      </c>
    </row>
    <row r="14" spans="2:10">
      <c r="C14" s="4"/>
    </row>
    <row r="22" spans="7:7">
      <c r="G22" t="s">
        <v>8</v>
      </c>
    </row>
  </sheetData>
  <phoneticPr fontId="1"/>
  <conditionalFormatting sqref="C3:D13">
    <cfRule type="containsBlanks" dxfId="1" priority="1">
      <formula>LEN(TRIM(C3))=0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42C0-32C0-274F-8ED7-B8D82F527B3D}">
  <dimension ref="B1:N9"/>
  <sheetViews>
    <sheetView zoomScale="125" workbookViewId="0">
      <selection activeCell="K4" sqref="K4"/>
    </sheetView>
  </sheetViews>
  <sheetFormatPr baseColWidth="10" defaultRowHeight="20"/>
  <cols>
    <col min="11" max="11" width="11.7109375" customWidth="1"/>
  </cols>
  <sheetData>
    <row r="1" spans="2:14" ht="21" thickBot="1"/>
    <row r="2" spans="2:14" ht="21" thickBot="1">
      <c r="B2" s="1" t="s">
        <v>9</v>
      </c>
      <c r="C2" s="2" t="s">
        <v>17</v>
      </c>
      <c r="D2" s="2" t="s">
        <v>15</v>
      </c>
      <c r="E2" s="3" t="s">
        <v>10</v>
      </c>
      <c r="F2" s="1" t="s">
        <v>18</v>
      </c>
      <c r="G2" s="2" t="s">
        <v>16</v>
      </c>
      <c r="H2" s="2" t="s">
        <v>11</v>
      </c>
      <c r="I2" s="3" t="s">
        <v>12</v>
      </c>
      <c r="J2" s="1" t="s">
        <v>13</v>
      </c>
      <c r="K2" s="3" t="s">
        <v>14</v>
      </c>
    </row>
    <row r="3" spans="2:14" ht="21" thickBot="1">
      <c r="B3" s="12">
        <v>105.8</v>
      </c>
      <c r="C3" s="8">
        <v>72.5</v>
      </c>
      <c r="D3" s="23">
        <f t="shared" ref="D3:D9" si="0">C3*10</f>
        <v>725</v>
      </c>
      <c r="E3" s="19">
        <v>7.1</v>
      </c>
      <c r="F3" s="12">
        <v>68.5</v>
      </c>
      <c r="G3" s="23">
        <f t="shared" ref="G3:G9" si="1">F3*10</f>
        <v>685</v>
      </c>
      <c r="H3" s="9">
        <v>6.25</v>
      </c>
      <c r="I3" s="13">
        <v>109.9</v>
      </c>
      <c r="J3" s="22">
        <f t="shared" ref="J3:J9" si="2">G3/D3</f>
        <v>0.94482758620689655</v>
      </c>
      <c r="K3" s="35">
        <f>($N$9-I3)/I3</f>
        <v>4.2402183803457658E-2</v>
      </c>
    </row>
    <row r="4" spans="2:14" ht="21" thickBot="1">
      <c r="B4" s="12">
        <v>105.8</v>
      </c>
      <c r="C4" s="11">
        <v>58</v>
      </c>
      <c r="D4" s="23">
        <f t="shared" si="0"/>
        <v>580</v>
      </c>
      <c r="E4" s="20">
        <v>5.56</v>
      </c>
      <c r="F4" s="14">
        <v>55.5</v>
      </c>
      <c r="G4" s="23">
        <f t="shared" si="1"/>
        <v>555</v>
      </c>
      <c r="H4" s="10">
        <v>5</v>
      </c>
      <c r="I4" s="15">
        <v>111.7</v>
      </c>
      <c r="J4" s="22">
        <f t="shared" si="2"/>
        <v>0.9568965517241379</v>
      </c>
      <c r="K4" s="35">
        <f>($N$9-I4)/I4</f>
        <v>2.5604297224709038E-2</v>
      </c>
      <c r="M4" s="3" t="s">
        <v>14</v>
      </c>
      <c r="N4">
        <v>2.5604297224709038E-2</v>
      </c>
    </row>
    <row r="5" spans="2:14" ht="21" thickBot="1">
      <c r="B5" s="14">
        <v>105.2</v>
      </c>
      <c r="C5" s="11">
        <v>44</v>
      </c>
      <c r="D5" s="23">
        <f t="shared" si="0"/>
        <v>440</v>
      </c>
      <c r="E5" s="20">
        <v>4.41</v>
      </c>
      <c r="F5" s="14">
        <v>41.9</v>
      </c>
      <c r="G5" s="23">
        <f t="shared" si="1"/>
        <v>419</v>
      </c>
      <c r="H5" s="10">
        <v>3.75</v>
      </c>
      <c r="I5" s="15">
        <v>111.5</v>
      </c>
      <c r="J5" s="22">
        <f t="shared" si="2"/>
        <v>0.95227272727272727</v>
      </c>
      <c r="K5" s="35">
        <f>($N$9-I5)/I5</f>
        <v>2.7443946188340826E-2</v>
      </c>
    </row>
    <row r="6" spans="2:14" ht="21" thickBot="1">
      <c r="B6" s="14">
        <v>105.8</v>
      </c>
      <c r="C6" s="11">
        <v>27.1</v>
      </c>
      <c r="D6" s="23">
        <f t="shared" si="0"/>
        <v>271</v>
      </c>
      <c r="E6" s="20">
        <v>2.8</v>
      </c>
      <c r="F6" s="14">
        <v>25.2</v>
      </c>
      <c r="G6" s="23">
        <f t="shared" si="1"/>
        <v>252</v>
      </c>
      <c r="H6" s="10">
        <v>2.5</v>
      </c>
      <c r="I6" s="15">
        <v>113.2</v>
      </c>
      <c r="J6" s="22">
        <f t="shared" si="2"/>
        <v>0.92988929889298888</v>
      </c>
      <c r="K6" s="35">
        <f t="shared" ref="K6:K7" si="3">($N$9-I6)/I6</f>
        <v>1.2014134275618369E-2</v>
      </c>
    </row>
    <row r="7" spans="2:14" ht="21" thickBot="1">
      <c r="B7" s="14">
        <v>105.8</v>
      </c>
      <c r="C7" s="11">
        <v>16.2</v>
      </c>
      <c r="D7" s="23">
        <f t="shared" si="0"/>
        <v>162</v>
      </c>
      <c r="E7" s="24">
        <v>1.74</v>
      </c>
      <c r="F7" s="14">
        <v>14.9</v>
      </c>
      <c r="G7" s="23">
        <f t="shared" si="1"/>
        <v>149</v>
      </c>
      <c r="H7" s="10">
        <v>1.25</v>
      </c>
      <c r="I7" s="15">
        <v>113.2</v>
      </c>
      <c r="J7" s="22">
        <f t="shared" si="2"/>
        <v>0.91975308641975306</v>
      </c>
      <c r="K7" s="35">
        <f t="shared" si="3"/>
        <v>1.2014134275618369E-2</v>
      </c>
    </row>
    <row r="8" spans="2:14" ht="21" thickBot="1">
      <c r="B8" s="16">
        <v>105.9</v>
      </c>
      <c r="C8" s="17">
        <v>9</v>
      </c>
      <c r="D8" s="32">
        <f t="shared" si="0"/>
        <v>90</v>
      </c>
      <c r="E8" s="33">
        <v>1.31</v>
      </c>
      <c r="F8" s="16">
        <v>7.5</v>
      </c>
      <c r="G8" s="32">
        <f t="shared" si="1"/>
        <v>75</v>
      </c>
      <c r="H8" s="21">
        <v>0.9</v>
      </c>
      <c r="I8" s="18">
        <v>114.2</v>
      </c>
      <c r="J8" s="34">
        <f t="shared" si="2"/>
        <v>0.83333333333333337</v>
      </c>
      <c r="K8" s="35">
        <f>($N$9-I8)/I8</f>
        <v>3.1523642732048988E-3</v>
      </c>
      <c r="M8" t="s">
        <v>2</v>
      </c>
    </row>
    <row r="9" spans="2:14">
      <c r="B9" s="25">
        <v>105.8</v>
      </c>
      <c r="C9" s="26">
        <v>1.4</v>
      </c>
      <c r="D9" s="27">
        <f t="shared" si="0"/>
        <v>14</v>
      </c>
      <c r="E9" s="31">
        <v>1.55</v>
      </c>
      <c r="F9" s="25">
        <v>0</v>
      </c>
      <c r="G9" s="27">
        <f t="shared" si="1"/>
        <v>0</v>
      </c>
      <c r="H9" s="29">
        <v>0</v>
      </c>
      <c r="I9" s="30">
        <v>0</v>
      </c>
      <c r="J9" s="28">
        <f t="shared" si="2"/>
        <v>0</v>
      </c>
      <c r="K9" s="31" t="e">
        <f>($I$4-I9)/I9</f>
        <v>#DIV/0!</v>
      </c>
      <c r="M9" t="s">
        <v>19</v>
      </c>
      <c r="N9">
        <v>114.56</v>
      </c>
    </row>
  </sheetData>
  <sortState xmlns:xlrd2="http://schemas.microsoft.com/office/spreadsheetml/2017/richdata2" ref="B3:K8">
    <sortCondition descending="1" ref="H3:H8"/>
  </sortState>
  <phoneticPr fontId="1"/>
  <conditionalFormatting sqref="B3:C9 E3:F9 H3:I9">
    <cfRule type="containsBlanks" dxfId="0" priority="1">
      <formula>LEN(TRIM(B3))=0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12FBF-21A9-3F42-8CE5-32BFCB251E46}">
  <dimension ref="B2:J27"/>
  <sheetViews>
    <sheetView zoomScale="133" workbookViewId="0">
      <selection activeCell="J8" sqref="J8"/>
    </sheetView>
  </sheetViews>
  <sheetFormatPr baseColWidth="10" defaultRowHeight="20"/>
  <cols>
    <col min="2" max="5" width="10.7109375" style="6"/>
    <col min="6" max="6" width="10.7109375" style="36"/>
  </cols>
  <sheetData>
    <row r="2" spans="2:10">
      <c r="B2" s="37" t="s">
        <v>52</v>
      </c>
      <c r="C2" s="37" t="s">
        <v>57</v>
      </c>
      <c r="D2" s="37" t="s">
        <v>53</v>
      </c>
      <c r="E2" s="38" t="s">
        <v>58</v>
      </c>
      <c r="F2" s="39">
        <v>43.4</v>
      </c>
      <c r="H2" s="69" t="s">
        <v>77</v>
      </c>
      <c r="I2" s="69" t="s">
        <v>78</v>
      </c>
      <c r="J2" t="s">
        <v>76</v>
      </c>
    </row>
    <row r="3" spans="2:10">
      <c r="B3" s="40"/>
      <c r="C3" s="40"/>
      <c r="D3" s="40"/>
      <c r="E3" s="41" t="s">
        <v>59</v>
      </c>
      <c r="F3" s="42">
        <v>42.6</v>
      </c>
      <c r="I3" t="s">
        <v>79</v>
      </c>
      <c r="J3" t="s">
        <v>82</v>
      </c>
    </row>
    <row r="4" spans="2:10">
      <c r="B4" s="40"/>
      <c r="C4" s="40"/>
      <c r="D4" s="43"/>
      <c r="E4" s="44" t="s">
        <v>60</v>
      </c>
      <c r="F4" s="45">
        <v>42.7</v>
      </c>
      <c r="H4" s="69" t="s">
        <v>80</v>
      </c>
      <c r="I4" s="69" t="s">
        <v>78</v>
      </c>
      <c r="J4" t="s">
        <v>83</v>
      </c>
    </row>
    <row r="5" spans="2:10">
      <c r="B5" s="40"/>
      <c r="C5" s="40"/>
      <c r="D5" s="37" t="s">
        <v>55</v>
      </c>
      <c r="E5" s="38" t="s">
        <v>62</v>
      </c>
      <c r="F5" s="39">
        <v>80</v>
      </c>
      <c r="I5" t="s">
        <v>79</v>
      </c>
      <c r="J5" t="s">
        <v>84</v>
      </c>
    </row>
    <row r="6" spans="2:10">
      <c r="B6" s="40"/>
      <c r="C6" s="40"/>
      <c r="D6" s="40"/>
      <c r="E6" s="41" t="s">
        <v>64</v>
      </c>
      <c r="F6" s="42">
        <v>80</v>
      </c>
      <c r="H6" t="s">
        <v>81</v>
      </c>
      <c r="J6" t="s">
        <v>85</v>
      </c>
    </row>
    <row r="7" spans="2:10">
      <c r="B7" s="40"/>
      <c r="C7" s="43"/>
      <c r="D7" s="43"/>
      <c r="E7" s="44" t="s">
        <v>66</v>
      </c>
      <c r="F7" s="45">
        <v>79.3</v>
      </c>
    </row>
    <row r="8" spans="2:10">
      <c r="B8" s="40"/>
      <c r="C8" s="49" t="s">
        <v>70</v>
      </c>
      <c r="D8" s="37" t="s">
        <v>53</v>
      </c>
      <c r="E8" s="38" t="s">
        <v>58</v>
      </c>
      <c r="F8" s="39">
        <v>46</v>
      </c>
    </row>
    <row r="9" spans="2:10">
      <c r="B9" s="40"/>
      <c r="C9" s="40"/>
      <c r="D9" s="40"/>
      <c r="E9" s="41" t="s">
        <v>59</v>
      </c>
      <c r="F9" s="42">
        <v>47.1</v>
      </c>
    </row>
    <row r="10" spans="2:10">
      <c r="B10" s="40"/>
      <c r="C10" s="40"/>
      <c r="D10" s="43"/>
      <c r="E10" s="44" t="s">
        <v>60</v>
      </c>
      <c r="F10" s="45">
        <v>47.3</v>
      </c>
    </row>
    <row r="11" spans="2:10">
      <c r="B11" s="40"/>
      <c r="C11" s="40"/>
      <c r="D11" s="40" t="s">
        <v>55</v>
      </c>
      <c r="E11" s="41" t="s">
        <v>62</v>
      </c>
      <c r="F11" s="42">
        <v>88.8</v>
      </c>
    </row>
    <row r="12" spans="2:10">
      <c r="B12" s="40"/>
      <c r="C12" s="40"/>
      <c r="D12" s="40"/>
      <c r="E12" s="41" t="s">
        <v>64</v>
      </c>
      <c r="F12" s="42">
        <v>88.6</v>
      </c>
    </row>
    <row r="13" spans="2:10">
      <c r="B13" s="43"/>
      <c r="C13" s="43"/>
      <c r="D13" s="43"/>
      <c r="E13" s="44" t="s">
        <v>66</v>
      </c>
      <c r="F13" s="45">
        <v>87.3</v>
      </c>
    </row>
    <row r="16" spans="2:10">
      <c r="B16" s="46" t="s">
        <v>68</v>
      </c>
      <c r="C16" s="46" t="s">
        <v>57</v>
      </c>
      <c r="D16" s="37" t="s">
        <v>53</v>
      </c>
      <c r="E16" s="38" t="s">
        <v>58</v>
      </c>
      <c r="F16" s="39">
        <v>43.1</v>
      </c>
    </row>
    <row r="17" spans="2:6">
      <c r="B17" s="47"/>
      <c r="C17" s="47"/>
      <c r="D17" s="40"/>
      <c r="E17" s="41" t="s">
        <v>59</v>
      </c>
      <c r="F17" s="42">
        <v>45</v>
      </c>
    </row>
    <row r="18" spans="2:6">
      <c r="B18" s="47"/>
      <c r="C18" s="47"/>
      <c r="D18" s="43"/>
      <c r="E18" s="44" t="s">
        <v>60</v>
      </c>
      <c r="F18" s="45">
        <v>44.9</v>
      </c>
    </row>
    <row r="19" spans="2:6">
      <c r="B19" s="47"/>
      <c r="C19" s="47"/>
      <c r="D19" s="37" t="s">
        <v>55</v>
      </c>
      <c r="E19" s="38" t="s">
        <v>62</v>
      </c>
      <c r="F19" s="39">
        <v>84.1</v>
      </c>
    </row>
    <row r="20" spans="2:6">
      <c r="B20" s="47"/>
      <c r="C20" s="47"/>
      <c r="D20" s="40"/>
      <c r="E20" s="41" t="s">
        <v>64</v>
      </c>
      <c r="F20" s="42">
        <v>84.9</v>
      </c>
    </row>
    <row r="21" spans="2:6">
      <c r="B21" s="47"/>
      <c r="C21" s="48"/>
      <c r="D21" s="43"/>
      <c r="E21" s="44" t="s">
        <v>66</v>
      </c>
      <c r="F21" s="45">
        <v>83.2</v>
      </c>
    </row>
    <row r="22" spans="2:6">
      <c r="B22" s="47"/>
      <c r="C22" s="49" t="s">
        <v>70</v>
      </c>
      <c r="D22" s="37" t="s">
        <v>53</v>
      </c>
      <c r="E22" s="38" t="s">
        <v>58</v>
      </c>
      <c r="F22" s="39">
        <v>48</v>
      </c>
    </row>
    <row r="23" spans="2:6">
      <c r="B23" s="47"/>
      <c r="C23" s="47"/>
      <c r="D23" s="40"/>
      <c r="E23" s="41" t="s">
        <v>59</v>
      </c>
      <c r="F23" s="42">
        <v>49.5</v>
      </c>
    </row>
    <row r="24" spans="2:6">
      <c r="B24" s="47"/>
      <c r="C24" s="47"/>
      <c r="D24" s="43"/>
      <c r="E24" s="44" t="s">
        <v>60</v>
      </c>
      <c r="F24" s="45">
        <v>49.1</v>
      </c>
    </row>
    <row r="25" spans="2:6">
      <c r="B25" s="47"/>
      <c r="C25" s="47"/>
      <c r="D25" s="37" t="s">
        <v>55</v>
      </c>
      <c r="E25" s="38" t="s">
        <v>62</v>
      </c>
      <c r="F25" s="39">
        <v>92.5</v>
      </c>
    </row>
    <row r="26" spans="2:6">
      <c r="B26" s="47"/>
      <c r="C26" s="47"/>
      <c r="D26" s="40"/>
      <c r="E26" s="41" t="s">
        <v>64</v>
      </c>
      <c r="F26" s="42">
        <v>49.5</v>
      </c>
    </row>
    <row r="27" spans="2:6">
      <c r="B27" s="48"/>
      <c r="C27" s="48"/>
      <c r="D27" s="43"/>
      <c r="E27" s="44" t="s">
        <v>66</v>
      </c>
      <c r="F27" s="45">
        <v>47.9</v>
      </c>
    </row>
  </sheetData>
  <phoneticPr fontId="1"/>
  <conditionalFormatting sqref="F2:F2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{4445FABB-C76A-6544-83EE-BDEA1D0DB3CA}</x14:id>
        </ext>
      </extLst>
    </cfRule>
  </conditionalFormatting>
  <conditionalFormatting sqref="F1:F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{C7A2C493-A311-4544-9E0F-FF3C2903DE1A}</x14:id>
        </ext>
      </extLst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45FABB-C76A-6544-83EE-BDEA1D0DB3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F2:F27</xm:sqref>
        </x14:conditionalFormatting>
        <x14:conditionalFormatting xmlns:xm="http://schemas.microsoft.com/office/excel/2006/main">
          <x14:cfRule type="dataBar" id="{C7A2C493-A311-4544-9E0F-FF3C2903DE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7BD6-AFC2-F14A-9450-64BABAF67503}">
  <dimension ref="B2:F21"/>
  <sheetViews>
    <sheetView zoomScale="142" workbookViewId="0">
      <selection activeCell="D24" sqref="D24"/>
    </sheetView>
  </sheetViews>
  <sheetFormatPr baseColWidth="10" defaultRowHeight="20"/>
  <sheetData>
    <row r="2" spans="2:6">
      <c r="B2" s="46" t="s">
        <v>52</v>
      </c>
      <c r="C2" s="46" t="s">
        <v>57</v>
      </c>
      <c r="D2" s="37" t="s">
        <v>55</v>
      </c>
      <c r="E2" s="38" t="s">
        <v>62</v>
      </c>
      <c r="F2" s="39">
        <v>84.1</v>
      </c>
    </row>
    <row r="3" spans="2:6">
      <c r="B3" s="47"/>
      <c r="C3" s="47"/>
      <c r="D3" s="40"/>
      <c r="E3" s="41" t="s">
        <v>64</v>
      </c>
      <c r="F3" s="42">
        <v>84.1</v>
      </c>
    </row>
    <row r="4" spans="2:6">
      <c r="B4" s="47"/>
      <c r="C4" s="48"/>
      <c r="D4" s="43"/>
      <c r="E4" s="44" t="s">
        <v>66</v>
      </c>
      <c r="F4" s="45">
        <v>83</v>
      </c>
    </row>
    <row r="5" spans="2:6">
      <c r="B5" s="47"/>
      <c r="C5" s="49" t="s">
        <v>70</v>
      </c>
      <c r="D5" s="37" t="s">
        <v>53</v>
      </c>
      <c r="E5" s="38" t="s">
        <v>58</v>
      </c>
      <c r="F5" s="39">
        <v>93.1</v>
      </c>
    </row>
    <row r="6" spans="2:6">
      <c r="B6" s="47"/>
      <c r="C6" s="47"/>
      <c r="D6" s="40"/>
      <c r="E6" s="41" t="s">
        <v>59</v>
      </c>
      <c r="F6" s="42">
        <v>93.5</v>
      </c>
    </row>
    <row r="7" spans="2:6">
      <c r="B7" s="47"/>
      <c r="C7" s="47"/>
      <c r="D7" s="43"/>
      <c r="E7" s="44" t="s">
        <v>60</v>
      </c>
      <c r="F7" s="45">
        <v>91.9</v>
      </c>
    </row>
    <row r="8" spans="2:6">
      <c r="B8" s="47"/>
      <c r="C8" s="47"/>
      <c r="D8" s="37" t="s">
        <v>55</v>
      </c>
      <c r="E8" s="38" t="s">
        <v>62</v>
      </c>
      <c r="F8" s="39">
        <v>161</v>
      </c>
    </row>
    <row r="9" spans="2:6">
      <c r="B9" s="47"/>
      <c r="C9" s="47"/>
      <c r="D9" s="40"/>
      <c r="E9" s="41" t="s">
        <v>64</v>
      </c>
      <c r="F9" s="42">
        <v>159</v>
      </c>
    </row>
    <row r="10" spans="2:6">
      <c r="B10" s="48"/>
      <c r="C10" s="48"/>
      <c r="D10" s="43"/>
      <c r="E10" s="44" t="s">
        <v>66</v>
      </c>
      <c r="F10" s="45">
        <v>158.5</v>
      </c>
    </row>
    <row r="11" spans="2:6">
      <c r="B11" s="6"/>
      <c r="C11" s="6"/>
      <c r="D11" s="6"/>
      <c r="E11" s="6"/>
      <c r="F11" s="36"/>
    </row>
    <row r="12" spans="2:6">
      <c r="B12" s="6"/>
      <c r="C12" s="6"/>
      <c r="D12" s="6"/>
      <c r="E12" s="6"/>
      <c r="F12" s="36"/>
    </row>
    <row r="13" spans="2:6">
      <c r="B13" s="46" t="s">
        <v>68</v>
      </c>
      <c r="C13" s="46" t="s">
        <v>57</v>
      </c>
      <c r="D13" s="37" t="s">
        <v>55</v>
      </c>
      <c r="E13" s="38" t="s">
        <v>62</v>
      </c>
      <c r="F13" s="39">
        <v>82.9</v>
      </c>
    </row>
    <row r="14" spans="2:6">
      <c r="B14" s="47"/>
      <c r="C14" s="47"/>
      <c r="D14" s="40"/>
      <c r="E14" s="41" t="s">
        <v>64</v>
      </c>
      <c r="F14" s="42">
        <v>83</v>
      </c>
    </row>
    <row r="15" spans="2:6">
      <c r="B15" s="47"/>
      <c r="C15" s="48"/>
      <c r="D15" s="43"/>
      <c r="E15" s="44" t="s">
        <v>66</v>
      </c>
      <c r="F15" s="45">
        <v>81.099999999999994</v>
      </c>
    </row>
    <row r="16" spans="2:6">
      <c r="B16" s="47"/>
      <c r="C16" s="49" t="s">
        <v>70</v>
      </c>
      <c r="D16" s="37" t="s">
        <v>53</v>
      </c>
      <c r="E16" s="38" t="s">
        <v>58</v>
      </c>
      <c r="F16" s="39">
        <v>90.7</v>
      </c>
    </row>
    <row r="17" spans="2:6">
      <c r="B17" s="47"/>
      <c r="C17" s="47"/>
      <c r="D17" s="40"/>
      <c r="E17" s="41" t="s">
        <v>59</v>
      </c>
      <c r="F17" s="42">
        <v>91</v>
      </c>
    </row>
    <row r="18" spans="2:6">
      <c r="B18" s="47"/>
      <c r="C18" s="47"/>
      <c r="D18" s="43"/>
      <c r="E18" s="44" t="s">
        <v>60</v>
      </c>
      <c r="F18" s="45">
        <v>89.1</v>
      </c>
    </row>
    <row r="19" spans="2:6">
      <c r="B19" s="47"/>
      <c r="C19" s="47"/>
      <c r="D19" s="37" t="s">
        <v>55</v>
      </c>
      <c r="E19" s="38" t="s">
        <v>62</v>
      </c>
      <c r="F19" s="39">
        <v>159.1</v>
      </c>
    </row>
    <row r="20" spans="2:6">
      <c r="B20" s="47"/>
      <c r="C20" s="47"/>
      <c r="D20" s="40"/>
      <c r="E20" s="41" t="s">
        <v>64</v>
      </c>
      <c r="F20" s="42">
        <v>91</v>
      </c>
    </row>
    <row r="21" spans="2:6">
      <c r="B21" s="48"/>
      <c r="C21" s="48"/>
      <c r="D21" s="43"/>
      <c r="E21" s="44" t="s">
        <v>66</v>
      </c>
      <c r="F21" s="45">
        <v>90.3</v>
      </c>
    </row>
  </sheetData>
  <phoneticPr fontId="1"/>
  <conditionalFormatting sqref="F2:F2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{79C503F9-034F-894B-B630-7750CD529547}</x14:id>
        </ext>
      </extLst>
    </cfRule>
  </conditionalFormatting>
  <conditionalFormatting sqref="F2:F21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{4933C17E-A4B9-8349-8CCF-C05CEDB1693A}</x14:id>
        </ext>
      </extLst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C503F9-034F-894B-B630-7750CD5295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dataBar" id="{4933C17E-A4B9-8349-8CCF-C05CEDB169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BBB3-EB12-BA49-A439-35ADC5355149}">
  <dimension ref="B2:F16"/>
  <sheetViews>
    <sheetView zoomScale="125" workbookViewId="0">
      <selection activeCell="B13" sqref="B13"/>
    </sheetView>
  </sheetViews>
  <sheetFormatPr baseColWidth="10" defaultRowHeight="20"/>
  <sheetData>
    <row r="2" spans="2:6">
      <c r="B2" s="50" t="s">
        <v>51</v>
      </c>
      <c r="C2" s="51" t="s">
        <v>56</v>
      </c>
      <c r="D2" s="52" t="s">
        <v>54</v>
      </c>
      <c r="E2" s="52" t="s">
        <v>61</v>
      </c>
      <c r="F2" s="53">
        <v>86.8</v>
      </c>
    </row>
    <row r="3" spans="2:6">
      <c r="B3" s="54"/>
      <c r="C3" s="55"/>
      <c r="D3" s="56"/>
      <c r="E3" s="56" t="s">
        <v>63</v>
      </c>
      <c r="F3" s="57">
        <v>86.9</v>
      </c>
    </row>
    <row r="4" spans="2:6">
      <c r="B4" s="54"/>
      <c r="C4" s="58"/>
      <c r="D4" s="59"/>
      <c r="E4" s="59" t="s">
        <v>65</v>
      </c>
      <c r="F4" s="60">
        <v>85.8</v>
      </c>
    </row>
    <row r="5" spans="2:6">
      <c r="B5" s="54"/>
      <c r="C5" s="50" t="s">
        <v>69</v>
      </c>
      <c r="D5" s="56" t="s">
        <v>54</v>
      </c>
      <c r="E5" s="56" t="s">
        <v>61</v>
      </c>
      <c r="F5" s="57">
        <v>95.8</v>
      </c>
    </row>
    <row r="6" spans="2:6">
      <c r="B6" s="54"/>
      <c r="C6" s="54"/>
      <c r="D6" s="56"/>
      <c r="E6" s="56" t="s">
        <v>63</v>
      </c>
      <c r="F6" s="57">
        <v>96.1</v>
      </c>
    </row>
    <row r="7" spans="2:6">
      <c r="B7" s="61"/>
      <c r="C7" s="61"/>
      <c r="D7" s="59"/>
      <c r="E7" s="59" t="s">
        <v>65</v>
      </c>
      <c r="F7" s="60">
        <v>94.2</v>
      </c>
    </row>
    <row r="8" spans="2:6">
      <c r="B8" s="56"/>
      <c r="C8" s="56"/>
      <c r="D8" s="56"/>
      <c r="E8" s="56"/>
      <c r="F8" s="62"/>
    </row>
    <row r="10" spans="2:6">
      <c r="B10" t="s">
        <v>71</v>
      </c>
      <c r="D10" t="s">
        <v>72</v>
      </c>
    </row>
    <row r="13" spans="2:6">
      <c r="B13" s="65" t="s">
        <v>67</v>
      </c>
      <c r="C13" s="50" t="s">
        <v>69</v>
      </c>
      <c r="D13" s="63"/>
      <c r="E13" s="63" t="s">
        <v>73</v>
      </c>
      <c r="F13" s="64">
        <v>181.6</v>
      </c>
    </row>
    <row r="14" spans="2:6">
      <c r="B14" s="66"/>
      <c r="C14" s="54"/>
      <c r="D14" s="52" t="s">
        <v>54</v>
      </c>
      <c r="E14" s="52" t="s">
        <v>61</v>
      </c>
      <c r="F14" s="53">
        <v>91.5</v>
      </c>
    </row>
    <row r="15" spans="2:6">
      <c r="B15" s="67"/>
      <c r="C15" s="54"/>
      <c r="D15" s="56"/>
      <c r="E15" s="56" t="s">
        <v>63</v>
      </c>
      <c r="F15" s="57">
        <v>91.8</v>
      </c>
    </row>
    <row r="16" spans="2:6">
      <c r="B16" s="68"/>
      <c r="C16" s="61"/>
      <c r="D16" s="59"/>
      <c r="E16" s="59" t="s">
        <v>65</v>
      </c>
      <c r="F16" s="60">
        <v>89.6</v>
      </c>
    </row>
  </sheetData>
  <phoneticPr fontId="1"/>
  <conditionalFormatting sqref="F2:F8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{59CA8391-B673-DB4A-B655-77ED22405FB2}</x14:id>
        </ext>
      </extLst>
    </cfRule>
  </conditionalFormatting>
  <conditionalFormatting sqref="F14:F1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{DAB44C7F-2B31-1E4E-954E-3B8E9E2390E1}</x14:id>
        </ext>
      </extLst>
    </cfRule>
  </conditionalFormatting>
  <conditionalFormatting sqref="F13:F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{64AD8B08-10ED-554A-B62C-A7971C01EF30}</x14:id>
        </ext>
      </extLst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CA8391-B673-DB4A-B655-77ED22405F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F2:F8</xm:sqref>
        </x14:conditionalFormatting>
        <x14:conditionalFormatting xmlns:xm="http://schemas.microsoft.com/office/excel/2006/main">
          <x14:cfRule type="dataBar" id="{DAB44C7F-2B31-1E4E-954E-3B8E9E2390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F14:F16</xm:sqref>
        </x14:conditionalFormatting>
        <x14:conditionalFormatting xmlns:xm="http://schemas.microsoft.com/office/excel/2006/main">
          <x14:cfRule type="dataBar" id="{64AD8B08-10ED-554A-B62C-A7971C01EF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F13:F16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0F1D-B182-CD44-9B12-94C95D65F9BC}">
  <dimension ref="B2:F15"/>
  <sheetViews>
    <sheetView zoomScale="200" workbookViewId="0">
      <selection activeCell="H11" sqref="H11"/>
    </sheetView>
  </sheetViews>
  <sheetFormatPr baseColWidth="10" defaultRowHeight="20"/>
  <sheetData>
    <row r="2" spans="2:6">
      <c r="B2" s="50" t="s">
        <v>51</v>
      </c>
      <c r="C2" s="51" t="s">
        <v>56</v>
      </c>
      <c r="D2" s="52" t="s">
        <v>54</v>
      </c>
      <c r="E2" s="52" t="s">
        <v>61</v>
      </c>
      <c r="F2" s="53">
        <v>82</v>
      </c>
    </row>
    <row r="3" spans="2:6">
      <c r="B3" s="54"/>
      <c r="C3" s="55"/>
      <c r="D3" s="56"/>
      <c r="E3" s="56" t="s">
        <v>74</v>
      </c>
      <c r="F3" s="57">
        <v>84.5</v>
      </c>
    </row>
    <row r="4" spans="2:6">
      <c r="B4" s="54"/>
      <c r="C4" s="58"/>
      <c r="D4" s="59"/>
      <c r="E4" s="59" t="s">
        <v>75</v>
      </c>
      <c r="F4" s="60">
        <v>82.9</v>
      </c>
    </row>
    <row r="5" spans="2:6">
      <c r="B5" s="54"/>
      <c r="C5" s="50" t="s">
        <v>69</v>
      </c>
      <c r="D5" s="56" t="s">
        <v>54</v>
      </c>
      <c r="E5" s="56" t="s">
        <v>62</v>
      </c>
      <c r="F5" s="57">
        <v>90.1</v>
      </c>
    </row>
    <row r="6" spans="2:6">
      <c r="B6" s="54"/>
      <c r="C6" s="54"/>
      <c r="D6" s="56"/>
      <c r="E6" s="56" t="s">
        <v>74</v>
      </c>
      <c r="F6" s="57">
        <v>92.5</v>
      </c>
    </row>
    <row r="7" spans="2:6">
      <c r="B7" s="61"/>
      <c r="C7" s="61"/>
      <c r="D7" s="59"/>
      <c r="E7" s="59" t="s">
        <v>75</v>
      </c>
      <c r="F7" s="60">
        <v>91.2</v>
      </c>
    </row>
    <row r="10" spans="2:6">
      <c r="B10" s="50" t="s">
        <v>67</v>
      </c>
      <c r="C10" s="51" t="s">
        <v>56</v>
      </c>
      <c r="D10" s="52" t="s">
        <v>54</v>
      </c>
      <c r="E10" s="52" t="s">
        <v>61</v>
      </c>
      <c r="F10" s="53">
        <v>79.099999999999994</v>
      </c>
    </row>
    <row r="11" spans="2:6">
      <c r="B11" s="54"/>
      <c r="C11" s="55"/>
      <c r="D11" s="56"/>
      <c r="E11" s="56" t="s">
        <v>74</v>
      </c>
      <c r="F11" s="57">
        <v>81.099999999999994</v>
      </c>
    </row>
    <row r="12" spans="2:6">
      <c r="B12" s="54"/>
      <c r="C12" s="58"/>
      <c r="D12" s="59"/>
      <c r="E12" s="59" t="s">
        <v>75</v>
      </c>
      <c r="F12" s="60">
        <v>79.599999999999994</v>
      </c>
    </row>
    <row r="13" spans="2:6">
      <c r="B13" s="54"/>
      <c r="C13" s="51" t="s">
        <v>69</v>
      </c>
      <c r="D13" s="56" t="s">
        <v>54</v>
      </c>
      <c r="E13" s="56" t="s">
        <v>62</v>
      </c>
      <c r="F13" s="57">
        <v>0</v>
      </c>
    </row>
    <row r="14" spans="2:6">
      <c r="B14" s="54"/>
      <c r="C14" s="55"/>
      <c r="D14" s="56"/>
      <c r="E14" s="56" t="s">
        <v>74</v>
      </c>
      <c r="F14" s="57">
        <v>89.7</v>
      </c>
    </row>
    <row r="15" spans="2:6">
      <c r="B15" s="61"/>
      <c r="C15" s="58"/>
      <c r="D15" s="59"/>
      <c r="E15" s="59" t="s">
        <v>75</v>
      </c>
      <c r="F15" s="60">
        <v>89.6</v>
      </c>
    </row>
  </sheetData>
  <phoneticPr fontId="1"/>
  <conditionalFormatting sqref="F2:F7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{6B302A69-C459-EB49-88E1-9CA8B19E9879}</x14:id>
        </ext>
      </extLst>
    </cfRule>
  </conditionalFormatting>
  <conditionalFormatting sqref="F10:F1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{6F6DEAFD-39E0-124B-9C94-9A3724C70750}</x14:id>
        </ext>
      </extLst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302A69-C459-EB49-88E1-9CA8B19E98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F2:F7</xm:sqref>
        </x14:conditionalFormatting>
        <x14:conditionalFormatting xmlns:xm="http://schemas.microsoft.com/office/excel/2006/main">
          <x14:cfRule type="dataBar" id="{6F6DEAFD-39E0-124B-9C94-9A3724C707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F10:F15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460A-5C2D-2D42-8B7F-136D9CA7CA67}">
  <dimension ref="A2:E13"/>
  <sheetViews>
    <sheetView zoomScale="133" workbookViewId="0">
      <selection activeCell="K29" sqref="K29"/>
    </sheetView>
  </sheetViews>
  <sheetFormatPr baseColWidth="10" defaultRowHeight="20"/>
  <cols>
    <col min="3" max="3" width="19.42578125" customWidth="1"/>
    <col min="5" max="5" width="13.28515625" customWidth="1"/>
  </cols>
  <sheetData>
    <row r="2" spans="1:5">
      <c r="A2" s="6"/>
      <c r="B2" s="6"/>
      <c r="C2" s="6" t="s">
        <v>29</v>
      </c>
      <c r="D2" s="6" t="s">
        <v>28</v>
      </c>
      <c r="E2" s="6" t="s">
        <v>27</v>
      </c>
    </row>
    <row r="3" spans="1:5">
      <c r="A3" s="6"/>
      <c r="B3" s="6"/>
      <c r="C3" s="6" t="s">
        <v>30</v>
      </c>
      <c r="D3" s="6" t="s">
        <v>39</v>
      </c>
      <c r="E3" s="6" t="s">
        <v>38</v>
      </c>
    </row>
    <row r="4" spans="1:5">
      <c r="A4" s="6"/>
      <c r="B4" s="6"/>
      <c r="C4" s="6" t="s">
        <v>30</v>
      </c>
      <c r="D4" s="6" t="s">
        <v>39</v>
      </c>
      <c r="E4" s="6" t="s">
        <v>40</v>
      </c>
    </row>
    <row r="5" spans="1:5">
      <c r="A5" s="6"/>
      <c r="B5" s="6" t="s">
        <v>20</v>
      </c>
      <c r="C5" s="6" t="s">
        <v>31</v>
      </c>
      <c r="D5" s="6" t="s">
        <v>35</v>
      </c>
      <c r="E5" s="6" t="s">
        <v>36</v>
      </c>
    </row>
    <row r="6" spans="1:5">
      <c r="A6" s="6"/>
      <c r="B6" s="6"/>
      <c r="C6" s="6" t="s">
        <v>30</v>
      </c>
      <c r="D6" s="6" t="s">
        <v>43</v>
      </c>
      <c r="E6" s="6" t="s">
        <v>44</v>
      </c>
    </row>
    <row r="7" spans="1:5">
      <c r="A7" s="6"/>
      <c r="B7" s="6"/>
      <c r="C7" s="6" t="s">
        <v>30</v>
      </c>
      <c r="D7" s="6" t="s">
        <v>41</v>
      </c>
      <c r="E7" s="6" t="s">
        <v>42</v>
      </c>
    </row>
    <row r="8" spans="1:5">
      <c r="A8" s="6"/>
      <c r="B8" s="6" t="s">
        <v>21</v>
      </c>
      <c r="C8" s="6" t="s">
        <v>30</v>
      </c>
      <c r="D8" s="6">
        <v>1965</v>
      </c>
      <c r="E8" s="6" t="s">
        <v>32</v>
      </c>
    </row>
    <row r="9" spans="1:5">
      <c r="A9" s="6"/>
      <c r="B9" s="6"/>
      <c r="C9" s="6" t="s">
        <v>31</v>
      </c>
      <c r="D9" s="6" t="s">
        <v>33</v>
      </c>
      <c r="E9" s="6" t="s">
        <v>37</v>
      </c>
    </row>
    <row r="10" spans="1:5">
      <c r="A10" s="6"/>
      <c r="B10" s="6"/>
      <c r="C10" s="6" t="s">
        <v>31</v>
      </c>
      <c r="D10" s="6" t="s">
        <v>33</v>
      </c>
      <c r="E10" s="6" t="s">
        <v>34</v>
      </c>
    </row>
    <row r="11" spans="1:5">
      <c r="A11" s="6"/>
      <c r="B11" s="6" t="s">
        <v>22</v>
      </c>
      <c r="C11" s="6" t="s">
        <v>47</v>
      </c>
      <c r="D11" s="6" t="s">
        <v>45</v>
      </c>
      <c r="E11" s="6" t="s">
        <v>46</v>
      </c>
    </row>
    <row r="12" spans="1:5">
      <c r="A12" s="6"/>
      <c r="B12" s="6"/>
      <c r="C12" s="6" t="s">
        <v>48</v>
      </c>
      <c r="D12" s="6" t="s">
        <v>50</v>
      </c>
      <c r="E12" s="6" t="s">
        <v>49</v>
      </c>
    </row>
    <row r="13" spans="1:5">
      <c r="A13" s="6"/>
      <c r="B13" s="6" t="s">
        <v>23</v>
      </c>
      <c r="C13" s="6" t="s">
        <v>24</v>
      </c>
      <c r="D13" s="6" t="s">
        <v>25</v>
      </c>
      <c r="E13" s="6" t="s">
        <v>26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実験2.1 無負荷試験</vt:lpstr>
      <vt:lpstr>実験2.2 実負荷試験</vt:lpstr>
      <vt:lpstr>実験2.3 star-star</vt:lpstr>
      <vt:lpstr>実験2.4 delta-star</vt:lpstr>
      <vt:lpstr>実験2.5 delta-delta</vt:lpstr>
      <vt:lpstr>実験2.6 open delta -　open delta</vt:lpstr>
      <vt:lpstr>実験A 使用器具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SatoTakumi</dc:creator>
  <cp:lastModifiedBy>SatoTakumi</cp:lastModifiedBy>
  <dcterms:created xsi:type="dcterms:W3CDTF">2026-04-17T05:04:38Z</dcterms:created>
  <dcterms:modified xsi:type="dcterms:W3CDTF">2026-04-24T07:40:28Z</dcterms:modified>
</cp:coreProperties>
</file>