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i/Downloads/"/>
    </mc:Choice>
  </mc:AlternateContent>
  <xr:revisionPtr revIDLastSave="0" documentId="13_ncr:1_{C0E3A00A-D9DF-074D-A76B-D8C7038421A3}" xr6:coauthVersionLast="47" xr6:coauthVersionMax="47" xr10:uidLastSave="{00000000-0000-0000-0000-000000000000}"/>
  <bookViews>
    <workbookView xWindow="2620" yWindow="3440" windowWidth="23680" windowHeight="17920" activeTab="6" xr2:uid="{5572D678-0067-9D47-878B-DFD40BCA1F04}"/>
  </bookViews>
  <sheets>
    <sheet name="2.3.2 変調回路の特性の測定" sheetId="1" r:id="rId1"/>
    <sheet name="2.3.3 復調回路の実験" sheetId="2" r:id="rId2"/>
    <sheet name="2.3.4 変復調特性の測定" sheetId="3" r:id="rId3"/>
    <sheet name="2.3.4 " sheetId="4" r:id="rId4"/>
    <sheet name="1.3.2 変調回路の特性の測定" sheetId="6" r:id="rId5"/>
    <sheet name="1.3.3 復調回路の特性の測定" sheetId="8" r:id="rId6"/>
    <sheet name="使用器具 FM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2" i="6" l="1"/>
  <c r="D31" i="6"/>
  <c r="D30" i="6"/>
  <c r="D29" i="6"/>
  <c r="D28" i="6"/>
  <c r="D27" i="6"/>
  <c r="D26" i="6"/>
  <c r="D25" i="6"/>
  <c r="D24" i="6"/>
  <c r="D23" i="6"/>
  <c r="D22" i="6"/>
  <c r="D21" i="6"/>
  <c r="D5" i="6"/>
  <c r="D4" i="6"/>
  <c r="D6" i="6"/>
  <c r="D7" i="6"/>
  <c r="D8" i="6"/>
  <c r="D9" i="6"/>
  <c r="D10" i="6"/>
  <c r="D11" i="6"/>
  <c r="D12" i="6"/>
  <c r="D13" i="6"/>
  <c r="D14" i="6"/>
  <c r="D3" i="6"/>
</calcChain>
</file>

<file path=xl/sharedStrings.xml><?xml version="1.0" encoding="utf-8"?>
<sst xmlns="http://schemas.openxmlformats.org/spreadsheetml/2006/main" count="44" uniqueCount="32">
  <si>
    <t>周波数f_FM [kHz]</t>
    <rPh sb="0" eb="3">
      <t>シュウｈア</t>
    </rPh>
    <phoneticPr fontId="1"/>
  </si>
  <si>
    <t>信号波の周波数 f_FM [kHz]</t>
    <rPh sb="0" eb="3">
      <t>シンゴウ</t>
    </rPh>
    <rPh sb="4" eb="7">
      <t>シュウｈア</t>
    </rPh>
    <phoneticPr fontId="1"/>
  </si>
  <si>
    <t>出力電圧 V_out [V]</t>
    <rPh sb="0" eb="4">
      <t>シュｔウ</t>
    </rPh>
    <phoneticPr fontId="1"/>
  </si>
  <si>
    <t>バイアス電圧V_c [V]</t>
    <rPh sb="4" eb="6">
      <t>デンアｔウ</t>
    </rPh>
    <phoneticPr fontId="1"/>
  </si>
  <si>
    <t>a</t>
    <phoneticPr fontId="1"/>
  </si>
  <si>
    <t>出力電圧 [mV]</t>
    <rPh sb="0" eb="4">
      <t>シュｔウ</t>
    </rPh>
    <phoneticPr fontId="1"/>
  </si>
  <si>
    <t>信号波の周波数 [mV]</t>
    <rPh sb="0" eb="3">
      <t>シンゴウ</t>
    </rPh>
    <rPh sb="4" eb="7">
      <t>シュウｈア</t>
    </rPh>
    <phoneticPr fontId="1"/>
  </si>
  <si>
    <t>信号波の電圧 [mV]</t>
    <rPh sb="0" eb="3">
      <t>シンゴウ</t>
    </rPh>
    <rPh sb="4" eb="6">
      <t>デンアｔウ</t>
    </rPh>
    <phoneticPr fontId="1"/>
  </si>
  <si>
    <t>オシロスコープ</t>
    <phoneticPr fontId="1"/>
  </si>
  <si>
    <t>ファンクションジェネレーター</t>
    <phoneticPr fontId="1"/>
  </si>
  <si>
    <t>FM demodulator</t>
    <phoneticPr fontId="1"/>
  </si>
  <si>
    <t>FM modulator</t>
    <phoneticPr fontId="1"/>
  </si>
  <si>
    <t>DS-5522</t>
    <phoneticPr fontId="1"/>
  </si>
  <si>
    <t>変調率 m</t>
    <rPh sb="0" eb="3">
      <t>ヘｎン</t>
    </rPh>
    <phoneticPr fontId="1"/>
  </si>
  <si>
    <t>変調波振幅 max (A)</t>
    <rPh sb="0" eb="3">
      <t>ヘｎン</t>
    </rPh>
    <rPh sb="3" eb="5">
      <t>シンプｋウ</t>
    </rPh>
    <phoneticPr fontId="1"/>
  </si>
  <si>
    <t>変調波振幅 min (B)</t>
    <rPh sb="0" eb="3">
      <t>ヘｎン</t>
    </rPh>
    <rPh sb="3" eb="5">
      <t>シンプｋウ</t>
    </rPh>
    <phoneticPr fontId="1"/>
  </si>
  <si>
    <t>周波数</t>
    <rPh sb="0" eb="3">
      <t>シュウｈア</t>
    </rPh>
    <phoneticPr fontId="1"/>
  </si>
  <si>
    <t>信号波の振幅 [mV]</t>
    <rPh sb="0" eb="3">
      <t>シンゴウ</t>
    </rPh>
    <rPh sb="4" eb="6">
      <t>シンプｋウ</t>
    </rPh>
    <phoneticPr fontId="1"/>
  </si>
  <si>
    <t>周波数 [Hz]</t>
    <rPh sb="0" eb="3">
      <t>シュウｈア</t>
    </rPh>
    <phoneticPr fontId="1"/>
  </si>
  <si>
    <t>入力電圧 [mV]</t>
    <rPh sb="0" eb="4">
      <t>ニュウリョｋウ</t>
    </rPh>
    <phoneticPr fontId="1"/>
  </si>
  <si>
    <t>出力電圧 [V]</t>
    <rPh sb="0" eb="4">
      <t>シュｔウ</t>
    </rPh>
    <phoneticPr fontId="1"/>
  </si>
  <si>
    <t>種別</t>
    <rPh sb="0" eb="2">
      <t>シュベｔウ</t>
    </rPh>
    <phoneticPr fontId="1"/>
  </si>
  <si>
    <t>製造元</t>
    <rPh sb="0" eb="3">
      <t>セイゾウム</t>
    </rPh>
    <phoneticPr fontId="1"/>
  </si>
  <si>
    <t>型番</t>
    <rPh sb="0" eb="2">
      <t>カタバｎン</t>
    </rPh>
    <phoneticPr fontId="1"/>
  </si>
  <si>
    <t>シリアル</t>
    <phoneticPr fontId="1"/>
  </si>
  <si>
    <t>AD137101143</t>
    <phoneticPr fontId="1"/>
  </si>
  <si>
    <t>IWATSU</t>
    <phoneticPr fontId="1"/>
  </si>
  <si>
    <t>TEXIO</t>
    <phoneticPr fontId="1"/>
  </si>
  <si>
    <t>FG-274</t>
    <phoneticPr fontId="1"/>
  </si>
  <si>
    <t>DFM-16</t>
    <phoneticPr fontId="1"/>
  </si>
  <si>
    <t>DFD-16</t>
    <phoneticPr fontId="1"/>
  </si>
  <si>
    <t xml:space="preserve">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</si>
</sst>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2" fontId="0" fillId="0" borderId="0" xfId="0" applyNumberFormat="1">
      <alignment vertical="center"/>
    </xf>
    <xf numFmtId="2" fontId="0" fillId="0" borderId="2" xfId="0" applyNumberFormat="1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2" fontId="0" fillId="0" borderId="3" xfId="0" applyNumberFormat="1" applyBorder="1">
      <alignment vertical="center"/>
    </xf>
    <xf numFmtId="1" fontId="0" fillId="0" borderId="3" xfId="0" applyNumberFormat="1" applyBorder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'2.3.2 変調回路の特性の測定'!$C$2</c:f>
              <c:strCache>
                <c:ptCount val="1"/>
                <c:pt idx="0">
                  <c:v>周波数f_FM [kHz]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'2.3.2 変調回路の特性の測定'!$B$3:$B$12</c:f>
              <c:strCache>
                <c:ptCount val="10"/>
                <c:pt idx="0">
                  <c:v>3.12</c:v>
                </c:pt>
                <c:pt idx="1">
                  <c:v>3.25</c:v>
                </c:pt>
                <c:pt idx="2">
                  <c:v>3.43</c:v>
                </c:pt>
                <c:pt idx="3">
                  <c:v>3.75</c:v>
                </c:pt>
                <c:pt idx="4">
                  <c:v>a</c:v>
                </c:pt>
                <c:pt idx="5">
                  <c:v>4.25</c:v>
                </c:pt>
                <c:pt idx="6">
                  <c:v>4.43</c:v>
                </c:pt>
                <c:pt idx="7">
                  <c:v>4.62</c:v>
                </c:pt>
                <c:pt idx="8">
                  <c:v>4.75</c:v>
                </c:pt>
                <c:pt idx="9">
                  <c:v>5.00</c:v>
                </c:pt>
              </c:strCache>
            </c:strRef>
          </c:xVal>
          <c:yVal>
            <c:numRef>
              <c:f>'2.3.2 変調回路の特性の測定'!$C$3:$C$12</c:f>
              <c:numCache>
                <c:formatCode>0.00</c:formatCode>
                <c:ptCount val="10"/>
                <c:pt idx="0">
                  <c:v>12.3</c:v>
                </c:pt>
                <c:pt idx="1">
                  <c:v>12.9</c:v>
                </c:pt>
                <c:pt idx="2">
                  <c:v>13.75</c:v>
                </c:pt>
                <c:pt idx="3">
                  <c:v>14.92</c:v>
                </c:pt>
                <c:pt idx="4">
                  <c:v>15.95</c:v>
                </c:pt>
                <c:pt idx="5">
                  <c:v>17.04</c:v>
                </c:pt>
                <c:pt idx="6">
                  <c:v>17.77</c:v>
                </c:pt>
                <c:pt idx="7">
                  <c:v>18.57</c:v>
                </c:pt>
                <c:pt idx="8">
                  <c:v>19.239999999999998</c:v>
                </c:pt>
                <c:pt idx="9">
                  <c:v>20.25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7F-584B-B51E-9D9922B26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599935"/>
        <c:axId val="1677604415"/>
      </c:scatterChart>
      <c:valAx>
        <c:axId val="167759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>
                    <a:effectLst/>
                  </a:rPr>
                  <a:t>バイアス電圧</a:t>
                </a:r>
                <a:r>
                  <a:rPr lang="en-US" altLang="ja-JP" sz="1000" b="0" i="0" u="none" strike="noStrike">
                    <a:effectLst/>
                  </a:rPr>
                  <a:t>V_c [V]</a:t>
                </a:r>
                <a:r>
                  <a:rPr lang="en-US" altLang="ja-JP" sz="1000">
                    <a:effectLst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7604415"/>
        <c:crosses val="autoZero"/>
        <c:crossBetween val="midCat"/>
      </c:valAx>
      <c:valAx>
        <c:axId val="167760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周波数</a:t>
                </a:r>
                <a:r>
                  <a:rPr lang="en-US" altLang="ja-JP"/>
                  <a:t>f_FM [kHz]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759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'2.3.3 復調回路の実験'!$C$2</c:f>
              <c:strCache>
                <c:ptCount val="1"/>
                <c:pt idx="0">
                  <c:v>出力電圧 V_out [V]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'2.3.3 復調回路の実験'!$B$3:$B$47</c:f>
              <c:numCache>
                <c:formatCode>0.00</c:formatCode>
                <c:ptCount val="45"/>
                <c:pt idx="0">
                  <c:v>12</c:v>
                </c:pt>
                <c:pt idx="1">
                  <c:v>12.4</c:v>
                </c:pt>
                <c:pt idx="2">
                  <c:v>12.6</c:v>
                </c:pt>
                <c:pt idx="3">
                  <c:v>12.8</c:v>
                </c:pt>
                <c:pt idx="4">
                  <c:v>13</c:v>
                </c:pt>
                <c:pt idx="5">
                  <c:v>13.2</c:v>
                </c:pt>
                <c:pt idx="6">
                  <c:v>13.4</c:v>
                </c:pt>
                <c:pt idx="7">
                  <c:v>13.6</c:v>
                </c:pt>
                <c:pt idx="8">
                  <c:v>13.8</c:v>
                </c:pt>
                <c:pt idx="9">
                  <c:v>14</c:v>
                </c:pt>
                <c:pt idx="10">
                  <c:v>14.2</c:v>
                </c:pt>
                <c:pt idx="11">
                  <c:v>14.4</c:v>
                </c:pt>
                <c:pt idx="12">
                  <c:v>14.6</c:v>
                </c:pt>
                <c:pt idx="13">
                  <c:v>14.8</c:v>
                </c:pt>
                <c:pt idx="14">
                  <c:v>15</c:v>
                </c:pt>
                <c:pt idx="15">
                  <c:v>15.2</c:v>
                </c:pt>
                <c:pt idx="16">
                  <c:v>15.4</c:v>
                </c:pt>
                <c:pt idx="17">
                  <c:v>15.6</c:v>
                </c:pt>
                <c:pt idx="18">
                  <c:v>15.8</c:v>
                </c:pt>
                <c:pt idx="19">
                  <c:v>16</c:v>
                </c:pt>
                <c:pt idx="20">
                  <c:v>16.2</c:v>
                </c:pt>
                <c:pt idx="21">
                  <c:v>16.399999999999999</c:v>
                </c:pt>
                <c:pt idx="22">
                  <c:v>16.600000000000001</c:v>
                </c:pt>
                <c:pt idx="23">
                  <c:v>16.8</c:v>
                </c:pt>
                <c:pt idx="24">
                  <c:v>17</c:v>
                </c:pt>
                <c:pt idx="25">
                  <c:v>17.2</c:v>
                </c:pt>
                <c:pt idx="26">
                  <c:v>17.399999999999999</c:v>
                </c:pt>
                <c:pt idx="27">
                  <c:v>17.600000000000001</c:v>
                </c:pt>
                <c:pt idx="28">
                  <c:v>17.8</c:v>
                </c:pt>
                <c:pt idx="29">
                  <c:v>18</c:v>
                </c:pt>
                <c:pt idx="30">
                  <c:v>18.2</c:v>
                </c:pt>
                <c:pt idx="31">
                  <c:v>18.399999999999999</c:v>
                </c:pt>
                <c:pt idx="32">
                  <c:v>18.600000000000001</c:v>
                </c:pt>
                <c:pt idx="33">
                  <c:v>18.8</c:v>
                </c:pt>
                <c:pt idx="34">
                  <c:v>19</c:v>
                </c:pt>
                <c:pt idx="35">
                  <c:v>19.2</c:v>
                </c:pt>
                <c:pt idx="36">
                  <c:v>19.399999999999999</c:v>
                </c:pt>
                <c:pt idx="37">
                  <c:v>19.600000000000001</c:v>
                </c:pt>
                <c:pt idx="38">
                  <c:v>19.8</c:v>
                </c:pt>
                <c:pt idx="39">
                  <c:v>20</c:v>
                </c:pt>
                <c:pt idx="40">
                  <c:v>20.2</c:v>
                </c:pt>
                <c:pt idx="41">
                  <c:v>20.399999999999999</c:v>
                </c:pt>
                <c:pt idx="42">
                  <c:v>20.6</c:v>
                </c:pt>
                <c:pt idx="43">
                  <c:v>20.8</c:v>
                </c:pt>
                <c:pt idx="44">
                  <c:v>21</c:v>
                </c:pt>
              </c:numCache>
            </c:numRef>
          </c:xVal>
          <c:yVal>
            <c:numRef>
              <c:f>'2.3.3 復調回路の実験'!$C$3:$C$47</c:f>
              <c:numCache>
                <c:formatCode>0.00</c:formatCode>
                <c:ptCount val="45"/>
                <c:pt idx="0">
                  <c:v>-6.2E-2</c:v>
                </c:pt>
                <c:pt idx="1">
                  <c:v>-0.125</c:v>
                </c:pt>
                <c:pt idx="2">
                  <c:v>-0.156</c:v>
                </c:pt>
                <c:pt idx="3">
                  <c:v>-0.187</c:v>
                </c:pt>
                <c:pt idx="4">
                  <c:v>-0.25</c:v>
                </c:pt>
                <c:pt idx="5">
                  <c:v>-0.28100000000000003</c:v>
                </c:pt>
                <c:pt idx="6">
                  <c:v>-0.375</c:v>
                </c:pt>
                <c:pt idx="7">
                  <c:v>-0.437</c:v>
                </c:pt>
                <c:pt idx="8">
                  <c:v>-0.53100000000000003</c:v>
                </c:pt>
                <c:pt idx="9">
                  <c:v>-0.66</c:v>
                </c:pt>
                <c:pt idx="10">
                  <c:v>-0.84299999999999997</c:v>
                </c:pt>
                <c:pt idx="11">
                  <c:v>-1</c:v>
                </c:pt>
                <c:pt idx="12">
                  <c:v>-1.1200000000000001</c:v>
                </c:pt>
                <c:pt idx="13">
                  <c:v>-1.18</c:v>
                </c:pt>
                <c:pt idx="14">
                  <c:v>-1.1200000000000001</c:v>
                </c:pt>
                <c:pt idx="15">
                  <c:v>-1</c:v>
                </c:pt>
                <c:pt idx="16">
                  <c:v>-0.75</c:v>
                </c:pt>
                <c:pt idx="17">
                  <c:v>-0.5</c:v>
                </c:pt>
                <c:pt idx="18">
                  <c:v>-0.25</c:v>
                </c:pt>
                <c:pt idx="19">
                  <c:v>3.1E-2</c:v>
                </c:pt>
                <c:pt idx="20">
                  <c:v>0.312</c:v>
                </c:pt>
                <c:pt idx="21">
                  <c:v>0.59299999999999997</c:v>
                </c:pt>
                <c:pt idx="22">
                  <c:v>0.84299999999999997</c:v>
                </c:pt>
                <c:pt idx="23">
                  <c:v>1.06</c:v>
                </c:pt>
                <c:pt idx="24">
                  <c:v>1.1499999999999999</c:v>
                </c:pt>
                <c:pt idx="25">
                  <c:v>1.1200000000000001</c:v>
                </c:pt>
                <c:pt idx="26">
                  <c:v>1.03</c:v>
                </c:pt>
                <c:pt idx="27">
                  <c:v>0.93700000000000006</c:v>
                </c:pt>
                <c:pt idx="28">
                  <c:v>0.78100000000000003</c:v>
                </c:pt>
                <c:pt idx="29">
                  <c:v>0.67</c:v>
                </c:pt>
                <c:pt idx="30">
                  <c:v>0.56200000000000006</c:v>
                </c:pt>
                <c:pt idx="31">
                  <c:v>0.5</c:v>
                </c:pt>
                <c:pt idx="32">
                  <c:v>0.40600000000000003</c:v>
                </c:pt>
                <c:pt idx="33">
                  <c:v>0.34300000000000003</c:v>
                </c:pt>
                <c:pt idx="34">
                  <c:v>0.31</c:v>
                </c:pt>
                <c:pt idx="35">
                  <c:v>0.28100000000000003</c:v>
                </c:pt>
                <c:pt idx="36">
                  <c:v>0.25</c:v>
                </c:pt>
                <c:pt idx="37">
                  <c:v>0.218</c:v>
                </c:pt>
                <c:pt idx="38">
                  <c:v>0.187</c:v>
                </c:pt>
                <c:pt idx="39">
                  <c:v>0.15</c:v>
                </c:pt>
                <c:pt idx="40">
                  <c:v>0.156</c:v>
                </c:pt>
                <c:pt idx="41">
                  <c:v>0.156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04-8A4E-AEE7-6490D895D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913919"/>
        <c:axId val="1677592767"/>
      </c:scatterChart>
      <c:valAx>
        <c:axId val="1677913919"/>
        <c:scaling>
          <c:orientation val="minMax"/>
          <c:min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7592767"/>
        <c:crosses val="autoZero"/>
        <c:crossBetween val="midCat"/>
      </c:valAx>
      <c:valAx>
        <c:axId val="167759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791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'2.3.4 変復調特性の測定'!$C$2</c:f>
              <c:strCache>
                <c:ptCount val="1"/>
                <c:pt idx="0">
                  <c:v>出力電圧 [mV]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'2.3.4 変復調特性の測定'!$B$3:$B$40</c:f>
              <c:numCache>
                <c:formatCode>0.00</c:formatCode>
                <c:ptCount val="38"/>
                <c:pt idx="0">
                  <c:v>171</c:v>
                </c:pt>
                <c:pt idx="1">
                  <c:v>175</c:v>
                </c:pt>
                <c:pt idx="2">
                  <c:v>187</c:v>
                </c:pt>
                <c:pt idx="3">
                  <c:v>234</c:v>
                </c:pt>
                <c:pt idx="4">
                  <c:v>250</c:v>
                </c:pt>
                <c:pt idx="5">
                  <c:v>281</c:v>
                </c:pt>
                <c:pt idx="6">
                  <c:v>300</c:v>
                </c:pt>
                <c:pt idx="7">
                  <c:v>325</c:v>
                </c:pt>
                <c:pt idx="8">
                  <c:v>362</c:v>
                </c:pt>
                <c:pt idx="9">
                  <c:v>375</c:v>
                </c:pt>
                <c:pt idx="10">
                  <c:v>400</c:v>
                </c:pt>
                <c:pt idx="11">
                  <c:v>500</c:v>
                </c:pt>
                <c:pt idx="12">
                  <c:v>587</c:v>
                </c:pt>
                <c:pt idx="13">
                  <c:v>750</c:v>
                </c:pt>
                <c:pt idx="14">
                  <c:v>953</c:v>
                </c:pt>
                <c:pt idx="15">
                  <c:v>1090</c:v>
                </c:pt>
                <c:pt idx="16">
                  <c:v>200</c:v>
                </c:pt>
                <c:pt idx="17">
                  <c:v>218</c:v>
                </c:pt>
                <c:pt idx="18">
                  <c:v>262</c:v>
                </c:pt>
                <c:pt idx="19">
                  <c:v>275</c:v>
                </c:pt>
              </c:numCache>
            </c:numRef>
          </c:xVal>
          <c:yVal>
            <c:numRef>
              <c:f>'2.3.4 変復調特性の測定'!$C$3:$C$40</c:f>
              <c:numCache>
                <c:formatCode>0.00</c:formatCode>
                <c:ptCount val="38"/>
                <c:pt idx="0">
                  <c:v>515</c:v>
                </c:pt>
                <c:pt idx="1">
                  <c:v>500</c:v>
                </c:pt>
                <c:pt idx="2">
                  <c:v>593</c:v>
                </c:pt>
                <c:pt idx="3">
                  <c:v>750</c:v>
                </c:pt>
                <c:pt idx="4">
                  <c:v>793</c:v>
                </c:pt>
                <c:pt idx="5">
                  <c:v>890</c:v>
                </c:pt>
                <c:pt idx="6">
                  <c:v>906</c:v>
                </c:pt>
                <c:pt idx="7">
                  <c:v>937</c:v>
                </c:pt>
                <c:pt idx="8">
                  <c:v>953</c:v>
                </c:pt>
                <c:pt idx="9">
                  <c:v>968</c:v>
                </c:pt>
                <c:pt idx="10">
                  <c:v>953</c:v>
                </c:pt>
                <c:pt idx="11">
                  <c:v>921</c:v>
                </c:pt>
                <c:pt idx="12">
                  <c:v>890</c:v>
                </c:pt>
                <c:pt idx="13">
                  <c:v>812</c:v>
                </c:pt>
                <c:pt idx="14">
                  <c:v>718</c:v>
                </c:pt>
                <c:pt idx="15">
                  <c:v>656</c:v>
                </c:pt>
                <c:pt idx="16">
                  <c:v>625</c:v>
                </c:pt>
                <c:pt idx="17">
                  <c:v>687</c:v>
                </c:pt>
                <c:pt idx="18">
                  <c:v>828</c:v>
                </c:pt>
                <c:pt idx="19">
                  <c:v>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73-4646-97C7-A487C1962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316031"/>
        <c:axId val="1677311999"/>
      </c:scatterChart>
      <c:valAx>
        <c:axId val="167731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7311999"/>
        <c:crosses val="autoZero"/>
        <c:crossBetween val="midCat"/>
      </c:valAx>
      <c:valAx>
        <c:axId val="167731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731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'2.3.4 '!$B$3:$B$59</c:f>
              <c:numCache>
                <c:formatCode>0.00</c:formatCode>
                <c:ptCount val="5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11</c:v>
                </c:pt>
                <c:pt idx="41">
                  <c:v>12</c:v>
                </c:pt>
                <c:pt idx="42">
                  <c:v>13</c:v>
                </c:pt>
                <c:pt idx="43">
                  <c:v>14</c:v>
                </c:pt>
                <c:pt idx="44">
                  <c:v>15</c:v>
                </c:pt>
                <c:pt idx="45">
                  <c:v>16</c:v>
                </c:pt>
                <c:pt idx="46">
                  <c:v>17</c:v>
                </c:pt>
                <c:pt idx="47">
                  <c:v>18</c:v>
                </c:pt>
                <c:pt idx="48">
                  <c:v>19</c:v>
                </c:pt>
                <c:pt idx="49">
                  <c:v>450</c:v>
                </c:pt>
                <c:pt idx="50">
                  <c:v>500</c:v>
                </c:pt>
                <c:pt idx="51">
                  <c:v>550</c:v>
                </c:pt>
                <c:pt idx="52">
                  <c:v>600</c:v>
                </c:pt>
                <c:pt idx="53">
                  <c:v>700</c:v>
                </c:pt>
                <c:pt idx="54">
                  <c:v>800</c:v>
                </c:pt>
                <c:pt idx="55">
                  <c:v>900</c:v>
                </c:pt>
                <c:pt idx="56">
                  <c:v>1000</c:v>
                </c:pt>
              </c:numCache>
            </c:numRef>
          </c:xVal>
          <c:yVal>
            <c:numRef>
              <c:f>'2.3.4 '!$C$3:$C$59</c:f>
              <c:numCache>
                <c:formatCode>0.00</c:formatCode>
                <c:ptCount val="57"/>
                <c:pt idx="0">
                  <c:v>671</c:v>
                </c:pt>
                <c:pt idx="1">
                  <c:v>750</c:v>
                </c:pt>
                <c:pt idx="2">
                  <c:v>750</c:v>
                </c:pt>
                <c:pt idx="3">
                  <c:v>750</c:v>
                </c:pt>
                <c:pt idx="4">
                  <c:v>734</c:v>
                </c:pt>
                <c:pt idx="5">
                  <c:v>718</c:v>
                </c:pt>
                <c:pt idx="6">
                  <c:v>703</c:v>
                </c:pt>
                <c:pt idx="7">
                  <c:v>671</c:v>
                </c:pt>
                <c:pt idx="8">
                  <c:v>656</c:v>
                </c:pt>
                <c:pt idx="9">
                  <c:v>625</c:v>
                </c:pt>
                <c:pt idx="10">
                  <c:v>609</c:v>
                </c:pt>
                <c:pt idx="11">
                  <c:v>578</c:v>
                </c:pt>
                <c:pt idx="12">
                  <c:v>562</c:v>
                </c:pt>
                <c:pt idx="13">
                  <c:v>546</c:v>
                </c:pt>
                <c:pt idx="14">
                  <c:v>531</c:v>
                </c:pt>
                <c:pt idx="15">
                  <c:v>515</c:v>
                </c:pt>
                <c:pt idx="16">
                  <c:v>500</c:v>
                </c:pt>
                <c:pt idx="17">
                  <c:v>484</c:v>
                </c:pt>
                <c:pt idx="18">
                  <c:v>468</c:v>
                </c:pt>
                <c:pt idx="19">
                  <c:v>453</c:v>
                </c:pt>
                <c:pt idx="20">
                  <c:v>437</c:v>
                </c:pt>
                <c:pt idx="21">
                  <c:v>421</c:v>
                </c:pt>
                <c:pt idx="22">
                  <c:v>406</c:v>
                </c:pt>
                <c:pt idx="23">
                  <c:v>390</c:v>
                </c:pt>
                <c:pt idx="24">
                  <c:v>390</c:v>
                </c:pt>
                <c:pt idx="25">
                  <c:v>375</c:v>
                </c:pt>
                <c:pt idx="26">
                  <c:v>359</c:v>
                </c:pt>
                <c:pt idx="27">
                  <c:v>359</c:v>
                </c:pt>
                <c:pt idx="28">
                  <c:v>343</c:v>
                </c:pt>
                <c:pt idx="29">
                  <c:v>343</c:v>
                </c:pt>
                <c:pt idx="30">
                  <c:v>328</c:v>
                </c:pt>
                <c:pt idx="31">
                  <c:v>312</c:v>
                </c:pt>
                <c:pt idx="32">
                  <c:v>312</c:v>
                </c:pt>
                <c:pt idx="33">
                  <c:v>296</c:v>
                </c:pt>
                <c:pt idx="34">
                  <c:v>296</c:v>
                </c:pt>
                <c:pt idx="35">
                  <c:v>281</c:v>
                </c:pt>
                <c:pt idx="36">
                  <c:v>281</c:v>
                </c:pt>
                <c:pt idx="37">
                  <c:v>265</c:v>
                </c:pt>
                <c:pt idx="38">
                  <c:v>265</c:v>
                </c:pt>
                <c:pt idx="39">
                  <c:v>250</c:v>
                </c:pt>
                <c:pt idx="40">
                  <c:v>687</c:v>
                </c:pt>
                <c:pt idx="41">
                  <c:v>703</c:v>
                </c:pt>
                <c:pt idx="42">
                  <c:v>718</c:v>
                </c:pt>
                <c:pt idx="43">
                  <c:v>718</c:v>
                </c:pt>
                <c:pt idx="44">
                  <c:v>718</c:v>
                </c:pt>
                <c:pt idx="45">
                  <c:v>734</c:v>
                </c:pt>
                <c:pt idx="46">
                  <c:v>734</c:v>
                </c:pt>
                <c:pt idx="47">
                  <c:v>734</c:v>
                </c:pt>
                <c:pt idx="48">
                  <c:v>750</c:v>
                </c:pt>
                <c:pt idx="49">
                  <c:v>218</c:v>
                </c:pt>
                <c:pt idx="50">
                  <c:v>203</c:v>
                </c:pt>
                <c:pt idx="51">
                  <c:v>171</c:v>
                </c:pt>
                <c:pt idx="52">
                  <c:v>156</c:v>
                </c:pt>
                <c:pt idx="53">
                  <c:v>125</c:v>
                </c:pt>
                <c:pt idx="54">
                  <c:v>109</c:v>
                </c:pt>
                <c:pt idx="55">
                  <c:v>93</c:v>
                </c:pt>
                <c:pt idx="56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34-F44A-B7D0-E593CB891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013695"/>
        <c:axId val="1697576959"/>
      </c:scatterChart>
      <c:valAx>
        <c:axId val="16770136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7576959"/>
        <c:crosses val="autoZero"/>
        <c:crossBetween val="midCat"/>
      </c:valAx>
      <c:valAx>
        <c:axId val="16975769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7701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'1.3.2 変調回路の特性の測定'!$D$2</c:f>
              <c:strCache>
                <c:ptCount val="1"/>
                <c:pt idx="0">
                  <c:v>変調率 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'1.3.2 変調回路の特性の測定'!$B$3:$B$14</c:f>
              <c:numCache>
                <c:formatCode>0</c:formatCode>
                <c:ptCount val="12"/>
                <c:pt idx="0">
                  <c:v>104</c:v>
                </c:pt>
                <c:pt idx="1">
                  <c:v>160</c:v>
                </c:pt>
                <c:pt idx="2">
                  <c:v>268</c:v>
                </c:pt>
                <c:pt idx="3">
                  <c:v>120</c:v>
                </c:pt>
                <c:pt idx="4">
                  <c:v>202</c:v>
                </c:pt>
                <c:pt idx="5">
                  <c:v>233</c:v>
                </c:pt>
                <c:pt idx="6">
                  <c:v>185</c:v>
                </c:pt>
                <c:pt idx="7">
                  <c:v>143</c:v>
                </c:pt>
                <c:pt idx="8">
                  <c:v>254</c:v>
                </c:pt>
                <c:pt idx="9">
                  <c:v>216</c:v>
                </c:pt>
                <c:pt idx="10">
                  <c:v>283</c:v>
                </c:pt>
              </c:numCache>
            </c:numRef>
          </c:xVal>
          <c:yVal>
            <c:numRef>
              <c:f>'1.3.2 変調回路の特性の測定'!$D$3:$D$14</c:f>
              <c:numCache>
                <c:formatCode>0.00</c:formatCode>
                <c:ptCount val="12"/>
                <c:pt idx="0">
                  <c:v>0.38003136434918977</c:v>
                </c:pt>
                <c:pt idx="1">
                  <c:v>0.59169550173010366</c:v>
                </c:pt>
                <c:pt idx="2">
                  <c:v>0.96438828259620912</c:v>
                </c:pt>
                <c:pt idx="3">
                  <c:v>0.42781597038603913</c:v>
                </c:pt>
                <c:pt idx="4">
                  <c:v>0.70744403956272783</c:v>
                </c:pt>
                <c:pt idx="5">
                  <c:v>0.80490349504434011</c:v>
                </c:pt>
                <c:pt idx="6">
                  <c:v>0.63951655281135056</c:v>
                </c:pt>
                <c:pt idx="7">
                  <c:v>0.50423728813559321</c:v>
                </c:pt>
                <c:pt idx="8">
                  <c:v>0.8808777429467084</c:v>
                </c:pt>
                <c:pt idx="9">
                  <c:v>0.75882043180621372</c:v>
                </c:pt>
                <c:pt idx="10">
                  <c:v>1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A-C24E-A713-AFE8B29C1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762239"/>
        <c:axId val="2081764479"/>
      </c:scatterChart>
      <c:valAx>
        <c:axId val="208176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1764479"/>
        <c:crosses val="autoZero"/>
        <c:crossBetween val="midCat"/>
      </c:valAx>
      <c:valAx>
        <c:axId val="20817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176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'1.3.2 変調回路の特性の測定'!$D$20</c:f>
              <c:strCache>
                <c:ptCount val="1"/>
                <c:pt idx="0">
                  <c:v>変調率 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'1.3.2 変調回路の特性の測定'!$C$21:$C$32</c:f>
              <c:numCache>
                <c:formatCode>General</c:formatCode>
                <c:ptCount val="12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600</c:v>
                </c:pt>
              </c:numCache>
            </c:numRef>
          </c:xVal>
          <c:yVal>
            <c:numRef>
              <c:f>'1.3.2 変調回路の特性の測定'!$D$21:$D$32</c:f>
              <c:numCache>
                <c:formatCode>0.00</c:formatCode>
                <c:ptCount val="12"/>
                <c:pt idx="0">
                  <c:v>0.70591313448456294</c:v>
                </c:pt>
                <c:pt idx="1">
                  <c:v>0.69703279541905261</c:v>
                </c:pt>
                <c:pt idx="2">
                  <c:v>0.69860176074572766</c:v>
                </c:pt>
                <c:pt idx="3">
                  <c:v>0.70436612309310875</c:v>
                </c:pt>
                <c:pt idx="4">
                  <c:v>0.67701863354037262</c:v>
                </c:pt>
                <c:pt idx="5">
                  <c:v>0.67533818938605616</c:v>
                </c:pt>
                <c:pt idx="6">
                  <c:v>0.70436612309310875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96-9444-83B8-FAF25C469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352383"/>
        <c:axId val="1793685503"/>
      </c:scatterChart>
      <c:valAx>
        <c:axId val="176035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3685503"/>
        <c:crosses val="autoZero"/>
        <c:crossBetween val="midCat"/>
      </c:valAx>
      <c:valAx>
        <c:axId val="179368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0352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'1.3.3 復調回路の特性の測定'!$C$3:$C$14</c:f>
              <c:numCache>
                <c:formatCode>0</c:formatCode>
                <c:ptCount val="12"/>
                <c:pt idx="0">
                  <c:v>208</c:v>
                </c:pt>
                <c:pt idx="1">
                  <c:v>256</c:v>
                </c:pt>
                <c:pt idx="2">
                  <c:v>220</c:v>
                </c:pt>
                <c:pt idx="3">
                  <c:v>189</c:v>
                </c:pt>
                <c:pt idx="4">
                  <c:v>158</c:v>
                </c:pt>
                <c:pt idx="5">
                  <c:v>112</c:v>
                </c:pt>
                <c:pt idx="6">
                  <c:v>281</c:v>
                </c:pt>
                <c:pt idx="7">
                  <c:v>302</c:v>
                </c:pt>
                <c:pt idx="8">
                  <c:v>350</c:v>
                </c:pt>
                <c:pt idx="9">
                  <c:v>412</c:v>
                </c:pt>
                <c:pt idx="10">
                  <c:v>243</c:v>
                </c:pt>
                <c:pt idx="11">
                  <c:v>140</c:v>
                </c:pt>
              </c:numCache>
            </c:numRef>
          </c:xVal>
          <c:yVal>
            <c:numRef>
              <c:f>'1.3.3 復調回路の特性の測定'!$D$3:$D$14</c:f>
              <c:numCache>
                <c:formatCode>0.00</c:formatCode>
                <c:ptCount val="12"/>
                <c:pt idx="0">
                  <c:v>1.65</c:v>
                </c:pt>
                <c:pt idx="1">
                  <c:v>2.08</c:v>
                </c:pt>
                <c:pt idx="2">
                  <c:v>1.83</c:v>
                </c:pt>
                <c:pt idx="3">
                  <c:v>1.6</c:v>
                </c:pt>
                <c:pt idx="4">
                  <c:v>1.35</c:v>
                </c:pt>
                <c:pt idx="5">
                  <c:v>0.98499999999999999</c:v>
                </c:pt>
                <c:pt idx="6">
                  <c:v>2.31</c:v>
                </c:pt>
                <c:pt idx="7">
                  <c:v>2.4300000000000002</c:v>
                </c:pt>
                <c:pt idx="8">
                  <c:v>2.68</c:v>
                </c:pt>
                <c:pt idx="9">
                  <c:v>2.91</c:v>
                </c:pt>
                <c:pt idx="10">
                  <c:v>2</c:v>
                </c:pt>
                <c:pt idx="11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DE-1144-9957-81CCB4D97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357759"/>
        <c:axId val="1760353279"/>
      </c:scatterChart>
      <c:valAx>
        <c:axId val="176035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0353279"/>
        <c:crosses val="autoZero"/>
        <c:crossBetween val="midCat"/>
      </c:valAx>
      <c:valAx>
        <c:axId val="17603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035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'1.3.3 復調回路の特性の測定'!$D$19</c:f>
              <c:strCache>
                <c:ptCount val="1"/>
                <c:pt idx="0">
                  <c:v>出力電圧 [V]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'1.3.3 復調回路の特性の測定'!$B$20:$B$50</c:f>
              <c:numCache>
                <c:formatCode>0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10</c:v>
                </c:pt>
                <c:pt idx="14">
                  <c:v>20</c:v>
                </c:pt>
                <c:pt idx="15">
                  <c:v>30</c:v>
                </c:pt>
                <c:pt idx="16">
                  <c:v>40</c:v>
                </c:pt>
                <c:pt idx="17">
                  <c:v>50</c:v>
                </c:pt>
                <c:pt idx="18">
                  <c:v>60</c:v>
                </c:pt>
                <c:pt idx="19">
                  <c:v>70</c:v>
                </c:pt>
                <c:pt idx="20">
                  <c:v>80</c:v>
                </c:pt>
                <c:pt idx="21">
                  <c:v>90</c:v>
                </c:pt>
                <c:pt idx="22">
                  <c:v>110</c:v>
                </c:pt>
                <c:pt idx="23">
                  <c:v>120</c:v>
                </c:pt>
                <c:pt idx="24">
                  <c:v>130</c:v>
                </c:pt>
                <c:pt idx="25">
                  <c:v>140</c:v>
                </c:pt>
                <c:pt idx="26">
                  <c:v>150</c:v>
                </c:pt>
                <c:pt idx="27">
                  <c:v>160</c:v>
                </c:pt>
                <c:pt idx="28">
                  <c:v>170</c:v>
                </c:pt>
                <c:pt idx="29">
                  <c:v>180</c:v>
                </c:pt>
                <c:pt idx="30">
                  <c:v>190</c:v>
                </c:pt>
              </c:numCache>
            </c:numRef>
          </c:xVal>
          <c:yVal>
            <c:numRef>
              <c:f>'1.3.3 復調回路の特性の測定'!$D$20:$D$50</c:f>
              <c:numCache>
                <c:formatCode>0.00</c:formatCode>
                <c:ptCount val="31"/>
                <c:pt idx="0">
                  <c:v>3.45</c:v>
                </c:pt>
                <c:pt idx="1">
                  <c:v>3.04</c:v>
                </c:pt>
                <c:pt idx="2">
                  <c:v>2.62</c:v>
                </c:pt>
                <c:pt idx="3">
                  <c:v>2.2200000000000002</c:v>
                </c:pt>
                <c:pt idx="4">
                  <c:v>1.93</c:v>
                </c:pt>
                <c:pt idx="5">
                  <c:v>1.66</c:v>
                </c:pt>
                <c:pt idx="6">
                  <c:v>1.43</c:v>
                </c:pt>
                <c:pt idx="7">
                  <c:v>1.27</c:v>
                </c:pt>
                <c:pt idx="8">
                  <c:v>1.1000000000000001</c:v>
                </c:pt>
                <c:pt idx="9">
                  <c:v>0.95799999999999996</c:v>
                </c:pt>
                <c:pt idx="10">
                  <c:v>0.85399999999999998</c:v>
                </c:pt>
                <c:pt idx="11">
                  <c:v>0.79100000000000004</c:v>
                </c:pt>
                <c:pt idx="12">
                  <c:v>0.70799999999999996</c:v>
                </c:pt>
                <c:pt idx="13">
                  <c:v>3.1</c:v>
                </c:pt>
                <c:pt idx="14">
                  <c:v>3.43</c:v>
                </c:pt>
                <c:pt idx="15">
                  <c:v>3.52</c:v>
                </c:pt>
                <c:pt idx="16">
                  <c:v>3.54</c:v>
                </c:pt>
                <c:pt idx="17">
                  <c:v>3.54</c:v>
                </c:pt>
                <c:pt idx="18">
                  <c:v>3.54</c:v>
                </c:pt>
                <c:pt idx="19">
                  <c:v>3.54</c:v>
                </c:pt>
                <c:pt idx="20">
                  <c:v>3.47</c:v>
                </c:pt>
                <c:pt idx="21" formatCode="General">
                  <c:v>3.45</c:v>
                </c:pt>
                <c:pt idx="22">
                  <c:v>3.39</c:v>
                </c:pt>
                <c:pt idx="23">
                  <c:v>3.35</c:v>
                </c:pt>
                <c:pt idx="24">
                  <c:v>3.33</c:v>
                </c:pt>
                <c:pt idx="25">
                  <c:v>3.29</c:v>
                </c:pt>
                <c:pt idx="26">
                  <c:v>3.27</c:v>
                </c:pt>
                <c:pt idx="27">
                  <c:v>3.2</c:v>
                </c:pt>
                <c:pt idx="28">
                  <c:v>3.16</c:v>
                </c:pt>
                <c:pt idx="29">
                  <c:v>3.1</c:v>
                </c:pt>
                <c:pt idx="30">
                  <c:v>3.08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1F-484B-90FB-200221634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1312"/>
        <c:axId val="8108928"/>
      </c:scatterChart>
      <c:valAx>
        <c:axId val="8101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08928"/>
        <c:crosses val="autoZero"/>
        <c:crossBetween val="midCat"/>
      </c:valAx>
      <c:valAx>
        <c:axId val="81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0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101715</xdr:colOff>
      <xdr:row>3</xdr:row>
      <xdr:rowOff>192114</xdr:rowOff>
    </xdr:from>
    <xdr:to>
      <xdr:col>7</xdr:col>
      <xdr:colOff>857968</xdr:colOff>
      <xdr:row>18</xdr:row>
      <xdr:rowOff>157892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1E02358-4F9F-BAE6-AFBF-ABD1A7831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331774</xdr:colOff>
      <xdr:row>3</xdr:row>
      <xdr:rowOff>134099</xdr:rowOff>
    </xdr:from>
    <xdr:to>
      <xdr:col>8</xdr:col>
      <xdr:colOff>643467</xdr:colOff>
      <xdr:row>20</xdr:row>
      <xdr:rowOff>237067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B6BB7ED-F03A-B347-55DF-91F79DE22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521056</xdr:colOff>
      <xdr:row>7</xdr:row>
      <xdr:rowOff>171391</xdr:rowOff>
    </xdr:from>
    <xdr:to>
      <xdr:col>8</xdr:col>
      <xdr:colOff>345393</xdr:colOff>
      <xdr:row>18</xdr:row>
      <xdr:rowOff>172815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BDBCBA9-B868-3751-6B8E-97D435871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574996</xdr:colOff>
      <xdr:row>9</xdr:row>
      <xdr:rowOff>167861</xdr:rowOff>
    </xdr:from>
    <xdr:to>
      <xdr:col>12</xdr:col>
      <xdr:colOff>876300</xdr:colOff>
      <xdr:row>25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F00D1F6-4A87-362C-3A18-4CA23547F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840772</xdr:colOff>
      <xdr:row>0</xdr:row>
      <xdr:rowOff>231976</xdr:rowOff>
    </xdr:from>
    <xdr:to>
      <xdr:col>11</xdr:col>
      <xdr:colOff>630177</xdr:colOff>
      <xdr:row>11</xdr:row>
      <xdr:rowOff>145809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29C2977-822F-7852-689D-8573D6EBC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21015</xdr:colOff>
      <xdr:row>19</xdr:row>
      <xdr:rowOff>40019</xdr:rowOff>
    </xdr:from>
    <xdr:to>
      <xdr:col>11</xdr:col>
      <xdr:colOff>792151</xdr:colOff>
      <xdr:row>29</xdr:row>
      <xdr:rowOff>224945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2833F71-2B33-1E8F-B784-BC99537CC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873588</xdr:colOff>
      <xdr:row>1</xdr:row>
      <xdr:rowOff>24783</xdr:rowOff>
    </xdr:from>
    <xdr:to>
      <xdr:col>9</xdr:col>
      <xdr:colOff>667675</xdr:colOff>
      <xdr:row>11</xdr:row>
      <xdr:rowOff>240313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B1DEC49-2AC5-87EF-BF77-3F380215A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905356</xdr:colOff>
      <xdr:row>18</xdr:row>
      <xdr:rowOff>10557</xdr:rowOff>
    </xdr:from>
    <xdr:to>
      <xdr:col>9</xdr:col>
      <xdr:colOff>705235</xdr:colOff>
      <xdr:row>28</xdr:row>
      <xdr:rowOff>216781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28D0E8C-D21E-5143-1749-0DB179646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F05B-A4C0-6740-910B-3E6B98217A87}">
  <dimension ref="B2:C21"/>
  <sheetViews>
    <sheetView zoomScale="170" workbookViewId="0">
      <selection activeCell="C19" sqref="C19"/>
    </sheetView>
  </sheetViews>
  <sheetFormatPr baseColWidth="10" defaultRowHeight="20"/>
  <cols>
    <col min="2" max="2" width="17.7109375" customWidth="1"/>
    <col min="3" max="3" width="15.7109375" customWidth="1"/>
  </cols>
  <sheetData>
    <row r="2" spans="2:3">
      <c r="B2" t="s">
        <v>3</v>
      </c>
      <c r="C2" t="s">
        <v>0</v>
      </c>
    </row>
    <row r="3" spans="2:3">
      <c r="B3" s="1">
        <v>3.12</v>
      </c>
      <c r="C3" s="1">
        <v>12.3</v>
      </c>
    </row>
    <row r="4" spans="2:3">
      <c r="B4" s="1">
        <v>3.25</v>
      </c>
      <c r="C4" s="1">
        <v>12.9</v>
      </c>
    </row>
    <row r="5" spans="2:3">
      <c r="B5" s="1">
        <v>3.43</v>
      </c>
      <c r="C5" s="1">
        <v>13.75</v>
      </c>
    </row>
    <row r="6" spans="2:3">
      <c r="B6" s="1">
        <v>3.75</v>
      </c>
      <c r="C6" s="1">
        <v>14.92</v>
      </c>
    </row>
    <row r="7" spans="2:3">
      <c r="B7" s="1" t="s">
        <v>4</v>
      </c>
      <c r="C7" s="1">
        <v>15.95</v>
      </c>
    </row>
    <row r="8" spans="2:3">
      <c r="B8" s="1">
        <v>4.25</v>
      </c>
      <c r="C8" s="1">
        <v>17.04</v>
      </c>
    </row>
    <row r="9" spans="2:3">
      <c r="B9" s="1">
        <v>4.43</v>
      </c>
      <c r="C9" s="1">
        <v>17.77</v>
      </c>
    </row>
    <row r="10" spans="2:3">
      <c r="B10" s="1">
        <v>4.62</v>
      </c>
      <c r="C10" s="1">
        <v>18.57</v>
      </c>
    </row>
    <row r="11" spans="2:3">
      <c r="B11" s="1">
        <v>4.75</v>
      </c>
      <c r="C11" s="1">
        <v>19.239999999999998</v>
      </c>
    </row>
    <row r="12" spans="2:3">
      <c r="B12" s="1">
        <v>5</v>
      </c>
      <c r="C12" s="1">
        <v>20.25</v>
      </c>
    </row>
    <row r="13" spans="2:3">
      <c r="B13" s="1"/>
      <c r="C13" s="1"/>
    </row>
    <row r="14" spans="2:3">
      <c r="B14" s="1"/>
      <c r="C14" s="1"/>
    </row>
    <row r="15" spans="2:3">
      <c r="B15" s="1"/>
      <c r="C15" s="1"/>
    </row>
    <row r="16" spans="2:3">
      <c r="B16" s="1"/>
      <c r="C16" s="1"/>
    </row>
    <row r="17" spans="2:3">
      <c r="B17" s="1"/>
      <c r="C17" s="1"/>
    </row>
    <row r="18" spans="2:3">
      <c r="B18" s="1"/>
      <c r="C18" s="1"/>
    </row>
    <row r="19" spans="2:3">
      <c r="B19" s="1"/>
      <c r="C19" s="1"/>
    </row>
    <row r="20" spans="2:3">
      <c r="B20" s="1"/>
      <c r="C20" s="1"/>
    </row>
    <row r="21" spans="2:3">
      <c r="B21" s="1"/>
      <c r="C21" s="1"/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CC33-4DBD-E444-BCCB-1C4B9F1841BC}">
  <dimension ref="B2:C47"/>
  <sheetViews>
    <sheetView zoomScale="125" workbookViewId="0">
      <selection activeCell="D22" sqref="D22"/>
    </sheetView>
  </sheetViews>
  <sheetFormatPr baseColWidth="10" defaultRowHeight="20"/>
  <cols>
    <col min="2" max="2" width="25.42578125" customWidth="1"/>
    <col min="3" max="3" width="23.5703125" customWidth="1"/>
  </cols>
  <sheetData>
    <row r="2" spans="2:3">
      <c r="B2" t="s">
        <v>1</v>
      </c>
      <c r="C2" t="s">
        <v>2</v>
      </c>
    </row>
    <row r="3" spans="2:3">
      <c r="B3" s="1">
        <v>12</v>
      </c>
      <c r="C3" s="1">
        <v>-6.2E-2</v>
      </c>
    </row>
    <row r="4" spans="2:3">
      <c r="B4" s="1">
        <v>12.4</v>
      </c>
      <c r="C4" s="1">
        <v>-0.125</v>
      </c>
    </row>
    <row r="5" spans="2:3">
      <c r="B5" s="1">
        <v>12.6</v>
      </c>
      <c r="C5" s="1">
        <v>-0.156</v>
      </c>
    </row>
    <row r="6" spans="2:3">
      <c r="B6" s="1">
        <v>12.8</v>
      </c>
      <c r="C6" s="1">
        <v>-0.187</v>
      </c>
    </row>
    <row r="7" spans="2:3">
      <c r="B7" s="1">
        <v>13</v>
      </c>
      <c r="C7" s="1">
        <v>-0.25</v>
      </c>
    </row>
    <row r="8" spans="2:3">
      <c r="B8" s="1">
        <v>13.2</v>
      </c>
      <c r="C8" s="1">
        <v>-0.28100000000000003</v>
      </c>
    </row>
    <row r="9" spans="2:3">
      <c r="B9" s="1">
        <v>13.4</v>
      </c>
      <c r="C9" s="1">
        <v>-0.375</v>
      </c>
    </row>
    <row r="10" spans="2:3">
      <c r="B10" s="1">
        <v>13.6</v>
      </c>
      <c r="C10" s="1">
        <v>-0.437</v>
      </c>
    </row>
    <row r="11" spans="2:3">
      <c r="B11" s="1">
        <v>13.8</v>
      </c>
      <c r="C11" s="1">
        <v>-0.53100000000000003</v>
      </c>
    </row>
    <row r="12" spans="2:3">
      <c r="B12" s="1">
        <v>14</v>
      </c>
      <c r="C12" s="1">
        <v>-0.66</v>
      </c>
    </row>
    <row r="13" spans="2:3">
      <c r="B13" s="1">
        <v>14.2</v>
      </c>
      <c r="C13" s="1">
        <v>-0.84299999999999997</v>
      </c>
    </row>
    <row r="14" spans="2:3">
      <c r="B14" s="1">
        <v>14.4</v>
      </c>
      <c r="C14" s="1">
        <v>-1</v>
      </c>
    </row>
    <row r="15" spans="2:3">
      <c r="B15" s="1">
        <v>14.6</v>
      </c>
      <c r="C15" s="1">
        <v>-1.1200000000000001</v>
      </c>
    </row>
    <row r="16" spans="2:3">
      <c r="B16" s="1">
        <v>14.8</v>
      </c>
      <c r="C16" s="1">
        <v>-1.18</v>
      </c>
    </row>
    <row r="17" spans="2:3">
      <c r="B17" s="1">
        <v>15</v>
      </c>
      <c r="C17" s="1">
        <v>-1.1200000000000001</v>
      </c>
    </row>
    <row r="18" spans="2:3">
      <c r="B18" s="1">
        <v>15.2</v>
      </c>
      <c r="C18" s="1">
        <v>-1</v>
      </c>
    </row>
    <row r="19" spans="2:3">
      <c r="B19" s="1">
        <v>15.4</v>
      </c>
      <c r="C19" s="1">
        <v>-0.75</v>
      </c>
    </row>
    <row r="20" spans="2:3">
      <c r="B20" s="1">
        <v>15.6</v>
      </c>
      <c r="C20" s="1">
        <v>-0.5</v>
      </c>
    </row>
    <row r="21" spans="2:3">
      <c r="B21" s="1">
        <v>15.8</v>
      </c>
      <c r="C21" s="1">
        <v>-0.25</v>
      </c>
    </row>
    <row r="22" spans="2:3">
      <c r="B22" s="1">
        <v>16</v>
      </c>
      <c r="C22" s="1">
        <v>3.1E-2</v>
      </c>
    </row>
    <row r="23" spans="2:3">
      <c r="B23" s="1">
        <v>16.2</v>
      </c>
      <c r="C23" s="1">
        <v>0.312</v>
      </c>
    </row>
    <row r="24" spans="2:3">
      <c r="B24" s="1">
        <v>16.399999999999999</v>
      </c>
      <c r="C24" s="1">
        <v>0.59299999999999997</v>
      </c>
    </row>
    <row r="25" spans="2:3">
      <c r="B25" s="1">
        <v>16.600000000000001</v>
      </c>
      <c r="C25" s="1">
        <v>0.84299999999999997</v>
      </c>
    </row>
    <row r="26" spans="2:3">
      <c r="B26" s="1">
        <v>16.8</v>
      </c>
      <c r="C26" s="1">
        <v>1.06</v>
      </c>
    </row>
    <row r="27" spans="2:3">
      <c r="B27" s="1">
        <v>17</v>
      </c>
      <c r="C27" s="1">
        <v>1.1499999999999999</v>
      </c>
    </row>
    <row r="28" spans="2:3">
      <c r="B28" s="1">
        <v>17.2</v>
      </c>
      <c r="C28" s="1">
        <v>1.1200000000000001</v>
      </c>
    </row>
    <row r="29" spans="2:3">
      <c r="B29" s="1">
        <v>17.399999999999999</v>
      </c>
      <c r="C29" s="1">
        <v>1.03</v>
      </c>
    </row>
    <row r="30" spans="2:3">
      <c r="B30" s="1">
        <v>17.600000000000001</v>
      </c>
      <c r="C30" s="1">
        <v>0.93700000000000006</v>
      </c>
    </row>
    <row r="31" spans="2:3">
      <c r="B31" s="1">
        <v>17.8</v>
      </c>
      <c r="C31" s="1">
        <v>0.78100000000000003</v>
      </c>
    </row>
    <row r="32" spans="2:3">
      <c r="B32" s="1">
        <v>18</v>
      </c>
      <c r="C32" s="1">
        <v>0.67</v>
      </c>
    </row>
    <row r="33" spans="2:3">
      <c r="B33" s="1">
        <v>18.2</v>
      </c>
      <c r="C33" s="1">
        <v>0.56200000000000006</v>
      </c>
    </row>
    <row r="34" spans="2:3">
      <c r="B34" s="1">
        <v>18.399999999999999</v>
      </c>
      <c r="C34" s="1">
        <v>0.5</v>
      </c>
    </row>
    <row r="35" spans="2:3">
      <c r="B35" s="1">
        <v>18.600000000000001</v>
      </c>
      <c r="C35" s="1">
        <v>0.40600000000000003</v>
      </c>
    </row>
    <row r="36" spans="2:3">
      <c r="B36" s="1">
        <v>18.8</v>
      </c>
      <c r="C36" s="1">
        <v>0.34300000000000003</v>
      </c>
    </row>
    <row r="37" spans="2:3">
      <c r="B37" s="1">
        <v>19</v>
      </c>
      <c r="C37" s="1">
        <v>0.31</v>
      </c>
    </row>
    <row r="38" spans="2:3">
      <c r="B38" s="1">
        <v>19.2</v>
      </c>
      <c r="C38" s="1">
        <v>0.28100000000000003</v>
      </c>
    </row>
    <row r="39" spans="2:3">
      <c r="B39" s="1">
        <v>19.399999999999999</v>
      </c>
      <c r="C39" s="1">
        <v>0.25</v>
      </c>
    </row>
    <row r="40" spans="2:3">
      <c r="B40" s="1">
        <v>19.600000000000001</v>
      </c>
      <c r="C40" s="1">
        <v>0.218</v>
      </c>
    </row>
    <row r="41" spans="2:3">
      <c r="B41" s="1">
        <v>19.8</v>
      </c>
      <c r="C41" s="1">
        <v>0.187</v>
      </c>
    </row>
    <row r="42" spans="2:3">
      <c r="B42" s="1">
        <v>20</v>
      </c>
      <c r="C42" s="1">
        <v>0.15</v>
      </c>
    </row>
    <row r="43" spans="2:3">
      <c r="B43" s="1">
        <v>20.2</v>
      </c>
      <c r="C43" s="1">
        <v>0.156</v>
      </c>
    </row>
    <row r="44" spans="2:3">
      <c r="B44" s="1">
        <v>20.399999999999999</v>
      </c>
      <c r="C44" s="1">
        <v>0.156</v>
      </c>
    </row>
    <row r="45" spans="2:3">
      <c r="B45" s="1">
        <v>20.6</v>
      </c>
      <c r="C45" s="1">
        <v>0.125</v>
      </c>
    </row>
    <row r="46" spans="2:3">
      <c r="B46" s="1">
        <v>20.8</v>
      </c>
      <c r="C46" s="1">
        <v>0.125</v>
      </c>
    </row>
    <row r="47" spans="2:3">
      <c r="B47" s="1">
        <v>21</v>
      </c>
      <c r="C47" s="1">
        <v>0.13</v>
      </c>
    </row>
  </sheetData>
  <sortState xmlns:xlrd2="http://schemas.microsoft.com/office/spreadsheetml/2017/richdata2" ref="B4:C40">
    <sortCondition ref="B4:B40"/>
  </sortState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2D92-35AF-DE4F-97C7-00BB9F97C62A}">
  <dimension ref="B1:C40"/>
  <sheetViews>
    <sheetView zoomScale="177" workbookViewId="0">
      <selection activeCell="C1" sqref="C1"/>
    </sheetView>
  </sheetViews>
  <sheetFormatPr baseColWidth="10" defaultRowHeight="20"/>
  <cols>
    <col min="2" max="2" width="17" customWidth="1"/>
    <col min="3" max="3" width="14" customWidth="1"/>
  </cols>
  <sheetData>
    <row r="1" spans="2:3" ht="21" thickBot="1"/>
    <row r="2" spans="2:3">
      <c r="B2" s="3" t="s">
        <v>7</v>
      </c>
      <c r="C2" s="3" t="s">
        <v>5</v>
      </c>
    </row>
    <row r="3" spans="2:3">
      <c r="B3" s="1">
        <v>171</v>
      </c>
      <c r="C3" s="1">
        <v>515</v>
      </c>
    </row>
    <row r="4" spans="2:3">
      <c r="B4" s="1">
        <v>175</v>
      </c>
      <c r="C4" s="1">
        <v>500</v>
      </c>
    </row>
    <row r="5" spans="2:3">
      <c r="B5" s="1">
        <v>187</v>
      </c>
      <c r="C5" s="1">
        <v>593</v>
      </c>
    </row>
    <row r="6" spans="2:3">
      <c r="B6" s="1">
        <v>234</v>
      </c>
      <c r="C6" s="1">
        <v>750</v>
      </c>
    </row>
    <row r="7" spans="2:3">
      <c r="B7" s="1">
        <v>250</v>
      </c>
      <c r="C7" s="1">
        <v>793</v>
      </c>
    </row>
    <row r="8" spans="2:3">
      <c r="B8" s="1">
        <v>281</v>
      </c>
      <c r="C8" s="1">
        <v>890</v>
      </c>
    </row>
    <row r="9" spans="2:3">
      <c r="B9" s="1">
        <v>300</v>
      </c>
      <c r="C9" s="1">
        <v>906</v>
      </c>
    </row>
    <row r="10" spans="2:3">
      <c r="B10" s="1">
        <v>325</v>
      </c>
      <c r="C10" s="1">
        <v>937</v>
      </c>
    </row>
    <row r="11" spans="2:3">
      <c r="B11" s="1">
        <v>362</v>
      </c>
      <c r="C11" s="1">
        <v>953</v>
      </c>
    </row>
    <row r="12" spans="2:3">
      <c r="B12" s="1">
        <v>375</v>
      </c>
      <c r="C12" s="1">
        <v>968</v>
      </c>
    </row>
    <row r="13" spans="2:3">
      <c r="B13" s="1">
        <v>400</v>
      </c>
      <c r="C13" s="1">
        <v>953</v>
      </c>
    </row>
    <row r="14" spans="2:3">
      <c r="B14" s="1">
        <v>500</v>
      </c>
      <c r="C14" s="1">
        <v>921</v>
      </c>
    </row>
    <row r="15" spans="2:3">
      <c r="B15" s="1">
        <v>587</v>
      </c>
      <c r="C15" s="1">
        <v>890</v>
      </c>
    </row>
    <row r="16" spans="2:3">
      <c r="B16" s="1">
        <v>750</v>
      </c>
      <c r="C16" s="1">
        <v>812</v>
      </c>
    </row>
    <row r="17" spans="2:3">
      <c r="B17" s="1">
        <v>953</v>
      </c>
      <c r="C17" s="1">
        <v>718</v>
      </c>
    </row>
    <row r="18" spans="2:3">
      <c r="B18" s="1">
        <v>1090</v>
      </c>
      <c r="C18" s="1">
        <v>656</v>
      </c>
    </row>
    <row r="19" spans="2:3">
      <c r="B19" s="1">
        <v>200</v>
      </c>
      <c r="C19" s="1">
        <v>625</v>
      </c>
    </row>
    <row r="20" spans="2:3">
      <c r="B20" s="1">
        <v>218</v>
      </c>
      <c r="C20" s="1">
        <v>687</v>
      </c>
    </row>
    <row r="21" spans="2:3">
      <c r="B21" s="1">
        <v>262</v>
      </c>
      <c r="C21" s="1">
        <v>828</v>
      </c>
    </row>
    <row r="22" spans="2:3">
      <c r="B22" s="1">
        <v>275</v>
      </c>
      <c r="C22" s="1">
        <v>843</v>
      </c>
    </row>
    <row r="23" spans="2:3">
      <c r="B23" s="1"/>
      <c r="C23" s="1"/>
    </row>
    <row r="24" spans="2:3">
      <c r="B24" s="1"/>
      <c r="C24" s="1"/>
    </row>
    <row r="25" spans="2:3">
      <c r="B25" s="1"/>
      <c r="C25" s="1"/>
    </row>
    <row r="26" spans="2:3">
      <c r="B26" s="1"/>
      <c r="C26" s="1"/>
    </row>
    <row r="27" spans="2:3">
      <c r="B27" s="1"/>
      <c r="C27" s="1"/>
    </row>
    <row r="28" spans="2:3">
      <c r="B28" s="1"/>
      <c r="C28" s="1"/>
    </row>
    <row r="29" spans="2:3">
      <c r="B29" s="1"/>
      <c r="C29" s="1"/>
    </row>
    <row r="30" spans="2:3">
      <c r="B30" s="1"/>
      <c r="C30" s="1"/>
    </row>
    <row r="31" spans="2:3">
      <c r="B31" s="1"/>
      <c r="C31" s="1"/>
    </row>
    <row r="32" spans="2:3">
      <c r="B32" s="1"/>
      <c r="C32" s="1"/>
    </row>
    <row r="33" spans="2:3">
      <c r="B33" s="1"/>
      <c r="C33" s="1"/>
    </row>
    <row r="34" spans="2:3">
      <c r="B34" s="1"/>
      <c r="C34" s="1"/>
    </row>
    <row r="35" spans="2:3">
      <c r="B35" s="1"/>
      <c r="C35" s="1"/>
    </row>
    <row r="36" spans="2:3">
      <c r="B36" s="1"/>
      <c r="C36" s="1"/>
    </row>
    <row r="37" spans="2:3">
      <c r="B37" s="1"/>
      <c r="C37" s="1"/>
    </row>
    <row r="38" spans="2:3">
      <c r="B38" s="1"/>
      <c r="C38" s="1"/>
    </row>
    <row r="39" spans="2:3" ht="21" thickBot="1">
      <c r="B39" s="2"/>
      <c r="C39" s="2"/>
    </row>
    <row r="40" spans="2:3">
      <c r="B40" s="1"/>
      <c r="C40" s="1"/>
    </row>
  </sheetData>
  <sortState xmlns:xlrd2="http://schemas.microsoft.com/office/spreadsheetml/2017/richdata2" ref="B3:C18">
    <sortCondition ref="B3:B18"/>
  </sortState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68E9-6F02-B341-8AB9-FD77FAC39552}">
  <dimension ref="B1:C59"/>
  <sheetViews>
    <sheetView topLeftCell="B5" zoomScale="131" workbookViewId="0">
      <selection activeCell="G28" sqref="G28"/>
    </sheetView>
  </sheetViews>
  <sheetFormatPr baseColWidth="10" defaultRowHeight="20"/>
  <cols>
    <col min="2" max="2" width="20.140625" customWidth="1"/>
    <col min="3" max="3" width="13.5703125" customWidth="1"/>
  </cols>
  <sheetData>
    <row r="1" spans="2:3" ht="21" thickBot="1"/>
    <row r="2" spans="2:3">
      <c r="B2" s="3" t="s">
        <v>6</v>
      </c>
      <c r="C2" s="3" t="s">
        <v>5</v>
      </c>
    </row>
    <row r="3" spans="2:3">
      <c r="B3" s="1">
        <v>10</v>
      </c>
      <c r="C3" s="1">
        <v>671</v>
      </c>
    </row>
    <row r="4" spans="2:3">
      <c r="B4" s="1">
        <v>20</v>
      </c>
      <c r="C4" s="1">
        <v>750</v>
      </c>
    </row>
    <row r="5" spans="2:3">
      <c r="B5" s="1">
        <v>30</v>
      </c>
      <c r="C5" s="1">
        <v>750</v>
      </c>
    </row>
    <row r="6" spans="2:3">
      <c r="B6" s="1">
        <v>40</v>
      </c>
      <c r="C6" s="1">
        <v>750</v>
      </c>
    </row>
    <row r="7" spans="2:3">
      <c r="B7" s="1">
        <v>50</v>
      </c>
      <c r="C7" s="1">
        <v>734</v>
      </c>
    </row>
    <row r="8" spans="2:3">
      <c r="B8" s="1">
        <v>60</v>
      </c>
      <c r="C8" s="1">
        <v>718</v>
      </c>
    </row>
    <row r="9" spans="2:3">
      <c r="B9" s="1">
        <v>70</v>
      </c>
      <c r="C9" s="1">
        <v>703</v>
      </c>
    </row>
    <row r="10" spans="2:3">
      <c r="B10" s="1">
        <v>80</v>
      </c>
      <c r="C10" s="1">
        <v>671</v>
      </c>
    </row>
    <row r="11" spans="2:3">
      <c r="B11" s="1">
        <v>90</v>
      </c>
      <c r="C11" s="1">
        <v>656</v>
      </c>
    </row>
    <row r="12" spans="2:3">
      <c r="B12" s="1">
        <v>100</v>
      </c>
      <c r="C12" s="1">
        <v>625</v>
      </c>
    </row>
    <row r="13" spans="2:3">
      <c r="B13" s="1">
        <v>110</v>
      </c>
      <c r="C13" s="1">
        <v>609</v>
      </c>
    </row>
    <row r="14" spans="2:3">
      <c r="B14" s="1">
        <v>120</v>
      </c>
      <c r="C14" s="1">
        <v>578</v>
      </c>
    </row>
    <row r="15" spans="2:3">
      <c r="B15" s="1">
        <v>130</v>
      </c>
      <c r="C15" s="1">
        <v>562</v>
      </c>
    </row>
    <row r="16" spans="2:3">
      <c r="B16" s="1">
        <v>140</v>
      </c>
      <c r="C16" s="1">
        <v>546</v>
      </c>
    </row>
    <row r="17" spans="2:3">
      <c r="B17" s="1">
        <v>150</v>
      </c>
      <c r="C17" s="1">
        <v>531</v>
      </c>
    </row>
    <row r="18" spans="2:3">
      <c r="B18" s="1">
        <v>160</v>
      </c>
      <c r="C18" s="1">
        <v>515</v>
      </c>
    </row>
    <row r="19" spans="2:3">
      <c r="B19" s="1">
        <v>170</v>
      </c>
      <c r="C19" s="1">
        <v>500</v>
      </c>
    </row>
    <row r="20" spans="2:3">
      <c r="B20" s="1">
        <v>180</v>
      </c>
      <c r="C20" s="1">
        <v>484</v>
      </c>
    </row>
    <row r="21" spans="2:3">
      <c r="B21" s="1">
        <v>190</v>
      </c>
      <c r="C21" s="1">
        <v>468</v>
      </c>
    </row>
    <row r="22" spans="2:3">
      <c r="B22" s="1">
        <v>200</v>
      </c>
      <c r="C22" s="1">
        <v>453</v>
      </c>
    </row>
    <row r="23" spans="2:3">
      <c r="B23" s="1">
        <v>210</v>
      </c>
      <c r="C23" s="1">
        <v>437</v>
      </c>
    </row>
    <row r="24" spans="2:3">
      <c r="B24" s="1">
        <v>220</v>
      </c>
      <c r="C24" s="1">
        <v>421</v>
      </c>
    </row>
    <row r="25" spans="2:3">
      <c r="B25" s="1">
        <v>230</v>
      </c>
      <c r="C25" s="1">
        <v>406</v>
      </c>
    </row>
    <row r="26" spans="2:3">
      <c r="B26" s="1">
        <v>240</v>
      </c>
      <c r="C26" s="1">
        <v>390</v>
      </c>
    </row>
    <row r="27" spans="2:3">
      <c r="B27" s="1">
        <v>250</v>
      </c>
      <c r="C27" s="1">
        <v>390</v>
      </c>
    </row>
    <row r="28" spans="2:3">
      <c r="B28" s="1">
        <v>260</v>
      </c>
      <c r="C28" s="1">
        <v>375</v>
      </c>
    </row>
    <row r="29" spans="2:3">
      <c r="B29" s="1">
        <v>270</v>
      </c>
      <c r="C29" s="1">
        <v>359</v>
      </c>
    </row>
    <row r="30" spans="2:3">
      <c r="B30" s="1">
        <v>280</v>
      </c>
      <c r="C30" s="1">
        <v>359</v>
      </c>
    </row>
    <row r="31" spans="2:3">
      <c r="B31" s="1">
        <v>290</v>
      </c>
      <c r="C31" s="1">
        <v>343</v>
      </c>
    </row>
    <row r="32" spans="2:3">
      <c r="B32" s="1">
        <v>300</v>
      </c>
      <c r="C32" s="1">
        <v>343</v>
      </c>
    </row>
    <row r="33" spans="2:3">
      <c r="B33" s="1">
        <v>310</v>
      </c>
      <c r="C33" s="1">
        <v>328</v>
      </c>
    </row>
    <row r="34" spans="2:3">
      <c r="B34" s="1">
        <v>320</v>
      </c>
      <c r="C34" s="1">
        <v>312</v>
      </c>
    </row>
    <row r="35" spans="2:3">
      <c r="B35" s="1">
        <v>330</v>
      </c>
      <c r="C35" s="1">
        <v>312</v>
      </c>
    </row>
    <row r="36" spans="2:3">
      <c r="B36" s="1">
        <v>340</v>
      </c>
      <c r="C36" s="1">
        <v>296</v>
      </c>
    </row>
    <row r="37" spans="2:3">
      <c r="B37" s="1">
        <v>350</v>
      </c>
      <c r="C37" s="1">
        <v>296</v>
      </c>
    </row>
    <row r="38" spans="2:3">
      <c r="B38" s="1">
        <v>360</v>
      </c>
      <c r="C38" s="1">
        <v>281</v>
      </c>
    </row>
    <row r="39" spans="2:3">
      <c r="B39" s="1">
        <v>370</v>
      </c>
      <c r="C39" s="1">
        <v>281</v>
      </c>
    </row>
    <row r="40" spans="2:3" ht="21" thickBot="1">
      <c r="B40" s="1">
        <v>380</v>
      </c>
      <c r="C40" s="2">
        <v>265</v>
      </c>
    </row>
    <row r="41" spans="2:3">
      <c r="B41" s="1">
        <v>390</v>
      </c>
      <c r="C41" s="1">
        <v>265</v>
      </c>
    </row>
    <row r="42" spans="2:3">
      <c r="B42" s="1">
        <v>400</v>
      </c>
      <c r="C42" s="1">
        <v>250</v>
      </c>
    </row>
    <row r="43" spans="2:3">
      <c r="B43" s="1">
        <v>11</v>
      </c>
      <c r="C43" s="1">
        <v>687</v>
      </c>
    </row>
    <row r="44" spans="2:3">
      <c r="B44" s="1">
        <v>12</v>
      </c>
      <c r="C44" s="1">
        <v>703</v>
      </c>
    </row>
    <row r="45" spans="2:3">
      <c r="B45" s="1">
        <v>13</v>
      </c>
      <c r="C45" s="1">
        <v>718</v>
      </c>
    </row>
    <row r="46" spans="2:3">
      <c r="B46" s="1">
        <v>14</v>
      </c>
      <c r="C46" s="1">
        <v>718</v>
      </c>
    </row>
    <row r="47" spans="2:3">
      <c r="B47" s="1">
        <v>15</v>
      </c>
      <c r="C47" s="1">
        <v>718</v>
      </c>
    </row>
    <row r="48" spans="2:3">
      <c r="B48" s="1">
        <v>16</v>
      </c>
      <c r="C48" s="1">
        <v>734</v>
      </c>
    </row>
    <row r="49" spans="2:3">
      <c r="B49" s="1">
        <v>17</v>
      </c>
      <c r="C49" s="1">
        <v>734</v>
      </c>
    </row>
    <row r="50" spans="2:3">
      <c r="B50" s="1">
        <v>18</v>
      </c>
      <c r="C50" s="1">
        <v>734</v>
      </c>
    </row>
    <row r="51" spans="2:3">
      <c r="B51" s="1">
        <v>19</v>
      </c>
      <c r="C51" s="1">
        <v>750</v>
      </c>
    </row>
    <row r="52" spans="2:3">
      <c r="B52" s="1">
        <v>450</v>
      </c>
      <c r="C52" s="1">
        <v>218</v>
      </c>
    </row>
    <row r="53" spans="2:3">
      <c r="B53" s="1">
        <v>500</v>
      </c>
      <c r="C53" s="1">
        <v>203</v>
      </c>
    </row>
    <row r="54" spans="2:3">
      <c r="B54" s="1">
        <v>550</v>
      </c>
      <c r="C54" s="1">
        <v>171</v>
      </c>
    </row>
    <row r="55" spans="2:3">
      <c r="B55" s="1">
        <v>600</v>
      </c>
      <c r="C55" s="1">
        <v>156</v>
      </c>
    </row>
    <row r="56" spans="2:3">
      <c r="B56" s="1">
        <v>700</v>
      </c>
      <c r="C56" s="1">
        <v>125</v>
      </c>
    </row>
    <row r="57" spans="2:3">
      <c r="B57" s="1">
        <v>800</v>
      </c>
      <c r="C57" s="1">
        <v>109</v>
      </c>
    </row>
    <row r="58" spans="2:3">
      <c r="B58" s="1">
        <v>900</v>
      </c>
      <c r="C58" s="1">
        <v>93</v>
      </c>
    </row>
    <row r="59" spans="2:3">
      <c r="B59" s="1">
        <v>1000</v>
      </c>
      <c r="C59" s="1">
        <v>78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2294-86C2-6C4C-B2D4-4BFCA9F63E01}">
  <dimension ref="B2:F32"/>
  <sheetViews>
    <sheetView zoomScale="159" workbookViewId="0">
      <selection activeCell="B13" sqref="B13"/>
    </sheetView>
  </sheetViews>
  <sheetFormatPr baseColWidth="10" defaultRowHeight="20"/>
  <cols>
    <col min="2" max="3" width="18.140625" customWidth="1"/>
    <col min="4" max="4" width="13.28515625" bestFit="1" customWidth="1"/>
    <col min="5" max="5" width="16.42578125" customWidth="1"/>
    <col min="6" max="6" width="19.140625" customWidth="1"/>
  </cols>
  <sheetData>
    <row r="2" spans="2:6">
      <c r="B2" s="4" t="s">
        <v>17</v>
      </c>
      <c r="C2" s="4" t="s">
        <v>16</v>
      </c>
      <c r="D2" s="4" t="s">
        <v>13</v>
      </c>
      <c r="E2" s="4" t="s">
        <v>14</v>
      </c>
      <c r="F2" s="4" t="s">
        <v>15</v>
      </c>
    </row>
    <row r="3" spans="2:6">
      <c r="B3" s="7">
        <v>104</v>
      </c>
      <c r="C3" s="4">
        <v>442</v>
      </c>
      <c r="D3" s="6">
        <f>(E3-F3)/(E3+F3)</f>
        <v>0.38003136434918977</v>
      </c>
      <c r="E3" s="6">
        <v>1.32</v>
      </c>
      <c r="F3" s="5">
        <v>0.59299999999999997</v>
      </c>
    </row>
    <row r="4" spans="2:6">
      <c r="B4" s="7">
        <v>160</v>
      </c>
      <c r="C4" s="4">
        <v>442</v>
      </c>
      <c r="D4" s="6">
        <f t="shared" ref="D4:D14" si="0">(E4-F4)/(E4+F4)</f>
        <v>0.59169550173010366</v>
      </c>
      <c r="E4" s="6">
        <v>1.38</v>
      </c>
      <c r="F4" s="5">
        <v>0.35399999999999998</v>
      </c>
    </row>
    <row r="5" spans="2:6">
      <c r="B5" s="7">
        <v>268</v>
      </c>
      <c r="C5" s="4">
        <v>442</v>
      </c>
      <c r="D5" s="6">
        <f t="shared" si="0"/>
        <v>0.96438828259620912</v>
      </c>
      <c r="E5" s="6">
        <v>1.71</v>
      </c>
      <c r="F5" s="5">
        <v>3.1E-2</v>
      </c>
    </row>
    <row r="6" spans="2:6">
      <c r="B6" s="7">
        <v>120</v>
      </c>
      <c r="C6" s="4">
        <v>442</v>
      </c>
      <c r="D6" s="6">
        <f t="shared" si="0"/>
        <v>0.42781597038603913</v>
      </c>
      <c r="E6" s="6">
        <v>1.35</v>
      </c>
      <c r="F6" s="5">
        <v>0.54100000000000004</v>
      </c>
    </row>
    <row r="7" spans="2:6">
      <c r="B7" s="7">
        <v>202</v>
      </c>
      <c r="C7" s="4">
        <v>442</v>
      </c>
      <c r="D7" s="6">
        <f t="shared" si="0"/>
        <v>0.70744403956272783</v>
      </c>
      <c r="E7" s="6">
        <v>1.64</v>
      </c>
      <c r="F7" s="5">
        <v>0.28100000000000003</v>
      </c>
    </row>
    <row r="8" spans="2:6">
      <c r="B8" s="7">
        <v>233</v>
      </c>
      <c r="C8" s="4">
        <v>442</v>
      </c>
      <c r="D8" s="6">
        <f t="shared" si="0"/>
        <v>0.80490349504434011</v>
      </c>
      <c r="E8" s="6">
        <v>1.73</v>
      </c>
      <c r="F8" s="5">
        <v>0.187</v>
      </c>
    </row>
    <row r="9" spans="2:6">
      <c r="B9" s="7">
        <v>185</v>
      </c>
      <c r="C9" s="4">
        <v>442</v>
      </c>
      <c r="D9" s="6">
        <f t="shared" si="0"/>
        <v>0.63951655281135056</v>
      </c>
      <c r="E9" s="6">
        <v>1.56</v>
      </c>
      <c r="F9" s="5">
        <v>0.34300000000000003</v>
      </c>
    </row>
    <row r="10" spans="2:6">
      <c r="B10" s="7">
        <v>143</v>
      </c>
      <c r="C10" s="4">
        <v>442</v>
      </c>
      <c r="D10" s="6">
        <f t="shared" si="0"/>
        <v>0.50423728813559321</v>
      </c>
      <c r="E10" s="6">
        <v>1.42</v>
      </c>
      <c r="F10" s="5">
        <v>0.46800000000000003</v>
      </c>
    </row>
    <row r="11" spans="2:6">
      <c r="B11" s="7">
        <v>254</v>
      </c>
      <c r="C11" s="4">
        <v>442</v>
      </c>
      <c r="D11" s="6">
        <f t="shared" si="0"/>
        <v>0.8808777429467084</v>
      </c>
      <c r="E11" s="6">
        <v>1.8</v>
      </c>
      <c r="F11" s="5">
        <v>0.114</v>
      </c>
    </row>
    <row r="12" spans="2:6">
      <c r="B12" s="7">
        <v>216</v>
      </c>
      <c r="C12" s="4">
        <v>442</v>
      </c>
      <c r="D12" s="6">
        <f t="shared" si="0"/>
        <v>0.75882043180621372</v>
      </c>
      <c r="E12" s="6">
        <v>1.67</v>
      </c>
      <c r="F12" s="5">
        <v>0.22900000000000001</v>
      </c>
    </row>
    <row r="13" spans="2:6">
      <c r="B13" s="7">
        <v>283</v>
      </c>
      <c r="C13" s="4">
        <v>442</v>
      </c>
      <c r="D13" s="6">
        <f t="shared" si="0"/>
        <v>1</v>
      </c>
      <c r="E13" s="6">
        <v>1.9</v>
      </c>
      <c r="F13" s="5">
        <v>0</v>
      </c>
    </row>
    <row r="14" spans="2:6">
      <c r="B14" s="7"/>
      <c r="C14" s="4">
        <v>442</v>
      </c>
      <c r="D14" s="6" t="e">
        <f t="shared" si="0"/>
        <v>#DIV/0!</v>
      </c>
      <c r="E14" s="6"/>
      <c r="F14" s="5"/>
    </row>
    <row r="20" spans="2:6">
      <c r="B20" s="4" t="s">
        <v>17</v>
      </c>
      <c r="C20" s="4" t="s">
        <v>18</v>
      </c>
      <c r="D20" s="4" t="s">
        <v>13</v>
      </c>
      <c r="E20" s="4" t="s">
        <v>14</v>
      </c>
      <c r="F20" s="4" t="s">
        <v>15</v>
      </c>
    </row>
    <row r="21" spans="2:6">
      <c r="B21" s="7">
        <v>200</v>
      </c>
      <c r="C21" s="4">
        <v>100</v>
      </c>
      <c r="D21" s="6">
        <f>(E21-F21)/(E21+F21)</f>
        <v>0.70591313448456294</v>
      </c>
      <c r="E21" s="6">
        <v>1.63</v>
      </c>
      <c r="F21" s="5">
        <v>0.28100000000000003</v>
      </c>
    </row>
    <row r="22" spans="2:6">
      <c r="B22" s="7">
        <v>200</v>
      </c>
      <c r="C22" s="4">
        <v>200</v>
      </c>
      <c r="D22" s="6">
        <f t="shared" ref="D22:D32" si="1">(E22-F22)/(E22+F22)</f>
        <v>0.69703279541905261</v>
      </c>
      <c r="E22" s="6">
        <v>1.63</v>
      </c>
      <c r="F22" s="5">
        <v>0.29099999999999998</v>
      </c>
    </row>
    <row r="23" spans="2:6">
      <c r="B23" s="7">
        <v>200</v>
      </c>
      <c r="C23" s="4">
        <v>400</v>
      </c>
      <c r="D23" s="6">
        <f t="shared" si="1"/>
        <v>0.69860176074572766</v>
      </c>
      <c r="E23" s="6">
        <v>1.64</v>
      </c>
      <c r="F23" s="5">
        <v>0.29099999999999998</v>
      </c>
    </row>
    <row r="24" spans="2:6">
      <c r="B24" s="7">
        <v>200</v>
      </c>
      <c r="C24" s="4">
        <v>800</v>
      </c>
      <c r="D24" s="6">
        <f t="shared" si="1"/>
        <v>0.70436612309310875</v>
      </c>
      <c r="E24" s="6">
        <v>1.62</v>
      </c>
      <c r="F24" s="5">
        <v>0.28100000000000003</v>
      </c>
    </row>
    <row r="25" spans="2:6">
      <c r="B25" s="7">
        <v>200</v>
      </c>
      <c r="C25" s="4">
        <v>1600</v>
      </c>
      <c r="D25" s="6">
        <f t="shared" si="1"/>
        <v>0.67701863354037262</v>
      </c>
      <c r="E25" s="6">
        <v>1.62</v>
      </c>
      <c r="F25" s="5">
        <v>0.312</v>
      </c>
    </row>
    <row r="26" spans="2:6">
      <c r="B26" s="7">
        <v>200</v>
      </c>
      <c r="C26" s="4">
        <v>3200</v>
      </c>
      <c r="D26" s="6">
        <f t="shared" si="1"/>
        <v>0.67533818938605616</v>
      </c>
      <c r="E26" s="6">
        <v>1.61</v>
      </c>
      <c r="F26" s="5">
        <v>0.312</v>
      </c>
    </row>
    <row r="27" spans="2:6">
      <c r="B27" s="7">
        <v>200</v>
      </c>
      <c r="C27" s="4">
        <v>600</v>
      </c>
      <c r="D27" s="6">
        <f t="shared" si="1"/>
        <v>0.70436612309310875</v>
      </c>
      <c r="E27" s="6">
        <v>1.62</v>
      </c>
      <c r="F27" s="5">
        <v>0.28100000000000003</v>
      </c>
    </row>
    <row r="28" spans="2:6">
      <c r="B28" s="7"/>
      <c r="C28" s="4"/>
      <c r="D28" s="6" t="e">
        <f t="shared" si="1"/>
        <v>#DIV/0!</v>
      </c>
      <c r="E28" s="6"/>
      <c r="F28" s="5"/>
    </row>
    <row r="29" spans="2:6">
      <c r="B29" s="7"/>
      <c r="C29" s="4"/>
      <c r="D29" s="6" t="e">
        <f t="shared" si="1"/>
        <v>#DIV/0!</v>
      </c>
      <c r="E29" s="6"/>
      <c r="F29" s="5"/>
    </row>
    <row r="30" spans="2:6">
      <c r="B30" s="7"/>
      <c r="C30" s="4"/>
      <c r="D30" s="6" t="e">
        <f t="shared" si="1"/>
        <v>#DIV/0!</v>
      </c>
      <c r="E30" s="6"/>
      <c r="F30" s="5"/>
    </row>
    <row r="31" spans="2:6">
      <c r="B31" s="7"/>
      <c r="C31" s="4"/>
      <c r="D31" s="6" t="e">
        <f t="shared" si="1"/>
        <v>#DIV/0!</v>
      </c>
      <c r="E31" s="6"/>
      <c r="F31" s="5"/>
    </row>
    <row r="32" spans="2:6">
      <c r="B32" s="7"/>
      <c r="C32" s="4"/>
      <c r="D32" s="6" t="e">
        <f t="shared" si="1"/>
        <v>#DIV/0!</v>
      </c>
      <c r="E32" s="6"/>
      <c r="F32" s="5"/>
    </row>
  </sheetData>
  <phoneticPr fontId="1"/>
  <conditionalFormatting sqref="B3:C14">
    <cfRule type="containsBlanks" dxfId="3" priority="4">
      <formula>LEN(TRIM(B3))=0</formula>
    </cfRule>
  </conditionalFormatting>
  <conditionalFormatting sqref="B21:C32">
    <cfRule type="containsBlanks" dxfId="2" priority="2">
      <formula>LEN(TRIM(B21))=0</formula>
    </cfRule>
  </conditionalFormatting>
  <conditionalFormatting sqref="E3:F14">
    <cfRule type="containsBlanks" dxfId="1" priority="3">
      <formula>LEN(TRIM(E3))=0</formula>
    </cfRule>
  </conditionalFormatting>
  <conditionalFormatting sqref="E21:F32">
    <cfRule type="containsBlanks" dxfId="0" priority="1">
      <formula>LEN(TRIM(E21))=0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7300-3CF1-5749-9A11-25937E7D6FEC}">
  <dimension ref="B2:D50"/>
  <sheetViews>
    <sheetView topLeftCell="A17" zoomScale="150" workbookViewId="0">
      <selection activeCell="J34" sqref="J34"/>
    </sheetView>
  </sheetViews>
  <sheetFormatPr baseColWidth="10" defaultRowHeight="20"/>
  <cols>
    <col min="3" max="3" width="15.140625" customWidth="1"/>
  </cols>
  <sheetData>
    <row r="2" spans="2:4">
      <c r="B2" t="s">
        <v>18</v>
      </c>
      <c r="C2" t="s">
        <v>19</v>
      </c>
      <c r="D2" t="s">
        <v>20</v>
      </c>
    </row>
    <row r="3" spans="2:4">
      <c r="B3" s="8">
        <v>442</v>
      </c>
      <c r="C3" s="8">
        <v>208</v>
      </c>
      <c r="D3" s="1">
        <v>1.65</v>
      </c>
    </row>
    <row r="4" spans="2:4">
      <c r="B4" s="8">
        <v>442</v>
      </c>
      <c r="C4" s="8">
        <v>256</v>
      </c>
      <c r="D4" s="1">
        <v>2.08</v>
      </c>
    </row>
    <row r="5" spans="2:4">
      <c r="B5" s="8">
        <v>442</v>
      </c>
      <c r="C5" s="8">
        <v>220</v>
      </c>
      <c r="D5" s="1">
        <v>1.83</v>
      </c>
    </row>
    <row r="6" spans="2:4">
      <c r="B6" s="8">
        <v>442</v>
      </c>
      <c r="C6" s="8">
        <v>189</v>
      </c>
      <c r="D6" s="1">
        <v>1.6</v>
      </c>
    </row>
    <row r="7" spans="2:4">
      <c r="B7" s="8">
        <v>442</v>
      </c>
      <c r="C7" s="8">
        <v>158</v>
      </c>
      <c r="D7" s="1">
        <v>1.35</v>
      </c>
    </row>
    <row r="8" spans="2:4">
      <c r="B8" s="8">
        <v>442</v>
      </c>
      <c r="C8" s="8">
        <v>112</v>
      </c>
      <c r="D8" s="1">
        <v>0.98499999999999999</v>
      </c>
    </row>
    <row r="9" spans="2:4">
      <c r="B9" s="8">
        <v>442</v>
      </c>
      <c r="C9" s="8">
        <v>281</v>
      </c>
      <c r="D9" s="1">
        <v>2.31</v>
      </c>
    </row>
    <row r="10" spans="2:4">
      <c r="B10" s="8">
        <v>442</v>
      </c>
      <c r="C10" s="8">
        <v>302</v>
      </c>
      <c r="D10" s="1">
        <v>2.4300000000000002</v>
      </c>
    </row>
    <row r="11" spans="2:4">
      <c r="B11" s="8">
        <v>442</v>
      </c>
      <c r="C11" s="8">
        <v>350</v>
      </c>
      <c r="D11" s="1">
        <v>2.68</v>
      </c>
    </row>
    <row r="12" spans="2:4">
      <c r="B12" s="8">
        <v>442</v>
      </c>
      <c r="C12" s="8">
        <v>412</v>
      </c>
      <c r="D12" s="1">
        <v>2.91</v>
      </c>
    </row>
    <row r="13" spans="2:4">
      <c r="B13" s="8">
        <v>442</v>
      </c>
      <c r="C13" s="8">
        <v>243</v>
      </c>
      <c r="D13" s="1">
        <v>2</v>
      </c>
    </row>
    <row r="14" spans="2:4">
      <c r="B14" s="8">
        <v>442</v>
      </c>
      <c r="C14" s="8">
        <v>140</v>
      </c>
      <c r="D14" s="1">
        <v>1.27</v>
      </c>
    </row>
    <row r="15" spans="2:4">
      <c r="B15" s="8"/>
      <c r="C15" s="8"/>
      <c r="D15" s="1"/>
    </row>
    <row r="16" spans="2:4">
      <c r="B16" s="8"/>
      <c r="C16" s="8"/>
      <c r="D16" s="1"/>
    </row>
    <row r="17" spans="2:4">
      <c r="C17" s="8"/>
      <c r="D17" s="1"/>
    </row>
    <row r="18" spans="2:4">
      <c r="B18" s="8"/>
      <c r="C18" s="8"/>
      <c r="D18" s="1"/>
    </row>
    <row r="19" spans="2:4">
      <c r="B19" t="s">
        <v>18</v>
      </c>
      <c r="C19" t="s">
        <v>19</v>
      </c>
      <c r="D19" t="s">
        <v>20</v>
      </c>
    </row>
    <row r="20" spans="2:4">
      <c r="B20" s="8">
        <v>100</v>
      </c>
      <c r="C20" s="8">
        <v>250</v>
      </c>
      <c r="D20" s="1">
        <v>3.45</v>
      </c>
    </row>
    <row r="21" spans="2:4">
      <c r="B21" s="8">
        <v>200</v>
      </c>
      <c r="C21" s="8">
        <v>250</v>
      </c>
      <c r="D21" s="1">
        <v>3.04</v>
      </c>
    </row>
    <row r="22" spans="2:4">
      <c r="B22" s="8">
        <v>300</v>
      </c>
      <c r="C22" s="8">
        <v>250</v>
      </c>
      <c r="D22" s="1">
        <v>2.62</v>
      </c>
    </row>
    <row r="23" spans="2:4">
      <c r="B23" s="8">
        <v>400</v>
      </c>
      <c r="C23" s="8">
        <v>250</v>
      </c>
      <c r="D23" s="1">
        <v>2.2200000000000002</v>
      </c>
    </row>
    <row r="24" spans="2:4">
      <c r="B24" s="8">
        <v>500</v>
      </c>
      <c r="C24" s="8">
        <v>250</v>
      </c>
      <c r="D24" s="1">
        <v>1.93</v>
      </c>
    </row>
    <row r="25" spans="2:4">
      <c r="B25" s="8">
        <v>600</v>
      </c>
      <c r="C25" s="8">
        <v>250</v>
      </c>
      <c r="D25" s="1">
        <v>1.66</v>
      </c>
    </row>
    <row r="26" spans="2:4">
      <c r="B26" s="8">
        <v>700</v>
      </c>
      <c r="C26" s="8">
        <v>250</v>
      </c>
      <c r="D26" s="1">
        <v>1.43</v>
      </c>
    </row>
    <row r="27" spans="2:4">
      <c r="B27" s="8">
        <v>800</v>
      </c>
      <c r="C27" s="8">
        <v>250</v>
      </c>
      <c r="D27" s="1">
        <v>1.27</v>
      </c>
    </row>
    <row r="28" spans="2:4">
      <c r="B28" s="8">
        <v>900</v>
      </c>
      <c r="C28" s="8">
        <v>250</v>
      </c>
      <c r="D28" s="1">
        <v>1.1000000000000001</v>
      </c>
    </row>
    <row r="29" spans="2:4">
      <c r="B29" s="8">
        <v>1000</v>
      </c>
      <c r="C29" s="8">
        <v>250</v>
      </c>
      <c r="D29" s="1">
        <v>0.95799999999999996</v>
      </c>
    </row>
    <row r="30" spans="2:4">
      <c r="B30" s="8">
        <v>1100</v>
      </c>
      <c r="C30" s="8">
        <v>250</v>
      </c>
      <c r="D30" s="1">
        <v>0.85399999999999998</v>
      </c>
    </row>
    <row r="31" spans="2:4">
      <c r="B31" s="8">
        <v>1200</v>
      </c>
      <c r="C31" s="8">
        <v>250</v>
      </c>
      <c r="D31" s="1">
        <v>0.79100000000000004</v>
      </c>
    </row>
    <row r="32" spans="2:4">
      <c r="B32" s="8">
        <v>1300</v>
      </c>
      <c r="C32" s="8">
        <v>250</v>
      </c>
      <c r="D32" s="1">
        <v>0.70799999999999996</v>
      </c>
    </row>
    <row r="33" spans="2:4">
      <c r="B33" s="8">
        <v>10</v>
      </c>
      <c r="C33" s="8">
        <v>250</v>
      </c>
      <c r="D33" s="1">
        <v>3.1</v>
      </c>
    </row>
    <row r="34" spans="2:4">
      <c r="B34" s="8">
        <v>20</v>
      </c>
      <c r="C34" s="8">
        <v>250</v>
      </c>
      <c r="D34" s="1">
        <v>3.43</v>
      </c>
    </row>
    <row r="35" spans="2:4">
      <c r="B35" s="8">
        <v>30</v>
      </c>
      <c r="C35" s="8">
        <v>250</v>
      </c>
      <c r="D35" s="1">
        <v>3.52</v>
      </c>
    </row>
    <row r="36" spans="2:4">
      <c r="B36" s="8">
        <v>40</v>
      </c>
      <c r="C36" s="8">
        <v>250</v>
      </c>
      <c r="D36" s="1">
        <v>3.54</v>
      </c>
    </row>
    <row r="37" spans="2:4">
      <c r="B37" s="8">
        <v>50</v>
      </c>
      <c r="C37" s="8">
        <v>250</v>
      </c>
      <c r="D37" s="1">
        <v>3.54</v>
      </c>
    </row>
    <row r="38" spans="2:4">
      <c r="B38" s="8">
        <v>60</v>
      </c>
      <c r="C38" s="8">
        <v>250</v>
      </c>
      <c r="D38" s="1">
        <v>3.54</v>
      </c>
    </row>
    <row r="39" spans="2:4">
      <c r="B39" s="8">
        <v>70</v>
      </c>
      <c r="C39" s="8">
        <v>250</v>
      </c>
      <c r="D39" s="1">
        <v>3.54</v>
      </c>
    </row>
    <row r="40" spans="2:4">
      <c r="B40" s="8">
        <v>80</v>
      </c>
      <c r="C40" s="8">
        <v>250</v>
      </c>
      <c r="D40" s="1">
        <v>3.47</v>
      </c>
    </row>
    <row r="41" spans="2:4">
      <c r="B41" s="8">
        <v>90</v>
      </c>
      <c r="C41" s="8">
        <v>250</v>
      </c>
      <c r="D41">
        <v>3.45</v>
      </c>
    </row>
    <row r="42" spans="2:4">
      <c r="B42" s="8">
        <v>110</v>
      </c>
      <c r="C42" s="8">
        <v>250</v>
      </c>
      <c r="D42" s="1">
        <v>3.39</v>
      </c>
    </row>
    <row r="43" spans="2:4">
      <c r="B43" s="8">
        <v>120</v>
      </c>
      <c r="C43" s="8">
        <v>250</v>
      </c>
      <c r="D43" s="1">
        <v>3.35</v>
      </c>
    </row>
    <row r="44" spans="2:4">
      <c r="B44" s="8">
        <v>130</v>
      </c>
      <c r="C44" s="8">
        <v>250</v>
      </c>
      <c r="D44" s="1">
        <v>3.33</v>
      </c>
    </row>
    <row r="45" spans="2:4">
      <c r="B45" s="8">
        <v>140</v>
      </c>
      <c r="C45" s="8">
        <v>250</v>
      </c>
      <c r="D45" s="1">
        <v>3.29</v>
      </c>
    </row>
    <row r="46" spans="2:4">
      <c r="B46" s="8">
        <v>150</v>
      </c>
      <c r="C46" s="8">
        <v>250</v>
      </c>
      <c r="D46" s="1">
        <v>3.27</v>
      </c>
    </row>
    <row r="47" spans="2:4">
      <c r="B47" s="8">
        <v>160</v>
      </c>
      <c r="C47" s="8">
        <v>250</v>
      </c>
      <c r="D47" s="1">
        <v>3.2</v>
      </c>
    </row>
    <row r="48" spans="2:4">
      <c r="B48" s="8">
        <v>170</v>
      </c>
      <c r="C48" s="8">
        <v>250</v>
      </c>
      <c r="D48" s="1">
        <v>3.16</v>
      </c>
    </row>
    <row r="49" spans="2:4">
      <c r="B49" s="8">
        <v>180</v>
      </c>
      <c r="C49" s="8">
        <v>250</v>
      </c>
      <c r="D49" s="1">
        <v>3.1</v>
      </c>
    </row>
    <row r="50" spans="2:4">
      <c r="B50" s="8">
        <v>190</v>
      </c>
      <c r="C50" s="8">
        <v>250</v>
      </c>
      <c r="D50" s="1">
        <v>3.08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A3D8-325D-6E41-9F3A-D17B94E2D4BE}">
  <dimension ref="B2:E6"/>
  <sheetViews>
    <sheetView tabSelected="1" zoomScale="185" workbookViewId="0">
      <selection activeCell="C13" sqref="C13"/>
    </sheetView>
  </sheetViews>
  <sheetFormatPr baseColWidth="10" defaultRowHeight="20"/>
  <cols>
    <col min="2" max="2" width="25.7109375" customWidth="1"/>
    <col min="5" max="5" width="13.85546875" customWidth="1"/>
  </cols>
  <sheetData>
    <row r="2" spans="2:5">
      <c r="B2" s="9" t="s">
        <v>21</v>
      </c>
      <c r="C2" s="9" t="s">
        <v>22</v>
      </c>
      <c r="D2" s="9" t="s">
        <v>23</v>
      </c>
      <c r="E2" s="9" t="s">
        <v>24</v>
      </c>
    </row>
    <row r="3" spans="2:5">
      <c r="B3" s="9" t="s">
        <v>8</v>
      </c>
      <c r="C3" s="9" t="s">
        <v>26</v>
      </c>
      <c r="D3" s="9" t="s">
        <v>12</v>
      </c>
      <c r="E3" s="9" t="s">
        <v>25</v>
      </c>
    </row>
    <row r="4" spans="2:5">
      <c r="B4" s="9" t="s">
        <v>9</v>
      </c>
      <c r="C4" s="9" t="s">
        <v>27</v>
      </c>
      <c r="D4" s="9" t="s">
        <v>28</v>
      </c>
      <c r="E4" s="9">
        <v>17010016</v>
      </c>
    </row>
    <row r="5" spans="2:5">
      <c r="B5" s="9" t="s">
        <v>10</v>
      </c>
      <c r="C5" s="9" t="s">
        <v>31</v>
      </c>
      <c r="D5" s="9" t="s">
        <v>29</v>
      </c>
      <c r="E5" s="9" t="s">
        <v>31</v>
      </c>
    </row>
    <row r="6" spans="2:5">
      <c r="B6" s="9" t="s">
        <v>11</v>
      </c>
      <c r="C6" s="9" t="s">
        <v>31</v>
      </c>
      <c r="D6" s="9" t="s">
        <v>30</v>
      </c>
      <c r="E6" s="9" t="s">
        <v>31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2.3.2 変調回路の特性の測定</vt:lpstr>
      <vt:lpstr>2.3.3 復調回路の実験</vt:lpstr>
      <vt:lpstr>2.3.4 変復調特性の測定</vt:lpstr>
      <vt:lpstr>2.3.4 </vt:lpstr>
      <vt:lpstr>1.3.2 変調回路の特性の測定</vt:lpstr>
      <vt:lpstr>1.3.3 復調回路の特性の測定</vt:lpstr>
      <vt:lpstr>使用器具 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SatoTakumi</dc:creator>
  <cp:lastModifiedBy>SatoTakumi</cp:lastModifiedBy>
  <dcterms:created xsi:type="dcterms:W3CDTF">2026-05-15T05:58:43Z</dcterms:created>
  <dcterms:modified xsi:type="dcterms:W3CDTF">2026-06-08T20:20:25Z</dcterms:modified>
</cp:coreProperties>
</file>