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mi/Downloads/"/>
    </mc:Choice>
  </mc:AlternateContent>
  <xr:revisionPtr revIDLastSave="0" documentId="13_ncr:1_{BCAADE56-340E-E041-AFEF-AE006BE0ABD5}" xr6:coauthVersionLast="47" xr6:coauthVersionMax="47" xr10:uidLastSave="{00000000-0000-0000-0000-000000000000}"/>
  <bookViews>
    <workbookView xWindow="0" yWindow="780" windowWidth="36000" windowHeight="22600" activeTab="6" xr2:uid="{A8205A43-7F73-2E4D-BF4E-CE6E760B5F4B}"/>
  </bookViews>
  <sheets>
    <sheet name="3-1 単相半波整流回路" sheetId="1" r:id="rId1"/>
    <sheet name="3-2 単相ブリッジ整流回路" sheetId="2" r:id="rId2"/>
    <sheet name="3-3 三相半波整流回路" sheetId="3" r:id="rId3"/>
    <sheet name="3-4 三相全波整流回路" sheetId="4" r:id="rId4"/>
    <sheet name="3-5 サイリスタ半波整流回路" sheetId="5" r:id="rId5"/>
    <sheet name="3-6 混合ブリッジ整流回路" sheetId="6" r:id="rId6"/>
    <sheet name="使用器具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6" l="1"/>
  <c r="E9" i="6" s="1"/>
  <c r="D10" i="6"/>
  <c r="E10" i="6" s="1"/>
  <c r="D8" i="6"/>
  <c r="E8" i="6" s="1"/>
  <c r="F9" i="6"/>
  <c r="G9" i="6" s="1"/>
  <c r="F10" i="6"/>
  <c r="F8" i="6"/>
  <c r="G8" i="6" s="1"/>
  <c r="G10" i="6"/>
  <c r="F9" i="5"/>
  <c r="F10" i="5"/>
  <c r="G10" i="5" s="1"/>
  <c r="F8" i="5"/>
  <c r="G8" i="5" s="1"/>
  <c r="D10" i="5"/>
  <c r="E10" i="5" s="1"/>
  <c r="D9" i="5"/>
  <c r="D8" i="5"/>
  <c r="E8" i="5" s="1"/>
  <c r="G9" i="5"/>
  <c r="E9" i="5"/>
  <c r="E11" i="4"/>
  <c r="F11" i="4" s="1"/>
  <c r="E12" i="4"/>
  <c r="F12" i="4" s="1"/>
  <c r="E10" i="4"/>
  <c r="F10" i="4"/>
  <c r="E11" i="3"/>
  <c r="E12" i="3"/>
  <c r="E10" i="3"/>
  <c r="F10" i="3" s="1"/>
  <c r="F12" i="3"/>
  <c r="F11" i="3"/>
  <c r="C11" i="4"/>
  <c r="C12" i="4"/>
  <c r="C10" i="4"/>
  <c r="D10" i="4" s="1"/>
  <c r="D12" i="4"/>
  <c r="D11" i="4"/>
  <c r="I4" i="4"/>
  <c r="J4" i="4" s="1"/>
  <c r="I5" i="4"/>
  <c r="J5" i="4" s="1"/>
  <c r="J6" i="4"/>
  <c r="J7" i="4"/>
  <c r="J3" i="4"/>
  <c r="C10" i="3"/>
  <c r="D10" i="3" s="1"/>
  <c r="I3" i="3"/>
  <c r="J3" i="3" s="1"/>
  <c r="I4" i="3"/>
  <c r="J4" i="3" s="1"/>
  <c r="I5" i="3"/>
  <c r="J5" i="3" s="1"/>
  <c r="C11" i="3"/>
  <c r="D11" i="3" s="1"/>
  <c r="C12" i="3"/>
  <c r="D12" i="3" s="1"/>
  <c r="J7" i="3"/>
  <c r="J6" i="3"/>
  <c r="I7" i="2"/>
  <c r="J7" i="2" s="1"/>
  <c r="I6" i="2"/>
  <c r="J6" i="2"/>
  <c r="E11" i="2"/>
  <c r="F11" i="2" s="1"/>
  <c r="E12" i="2"/>
  <c r="E10" i="2"/>
  <c r="F10" i="2" s="1"/>
  <c r="C11" i="2"/>
  <c r="C12" i="2"/>
  <c r="C10" i="2"/>
  <c r="D10" i="2" s="1"/>
  <c r="F12" i="2"/>
  <c r="D12" i="2"/>
  <c r="D11" i="2"/>
  <c r="J5" i="2"/>
  <c r="J4" i="2"/>
  <c r="J3" i="2"/>
  <c r="C10" i="1"/>
  <c r="D10" i="1" s="1"/>
  <c r="E10" i="1"/>
  <c r="F10" i="1" s="1"/>
  <c r="C11" i="1"/>
  <c r="D11" i="1" s="1"/>
  <c r="E11" i="1"/>
  <c r="F11" i="1" s="1"/>
  <c r="C12" i="1"/>
  <c r="D12" i="1"/>
  <c r="E12" i="1"/>
  <c r="F12" i="1"/>
  <c r="H7" i="1"/>
  <c r="H6" i="1"/>
  <c r="H4" i="1"/>
  <c r="H5" i="1"/>
  <c r="H3" i="1"/>
</calcChain>
</file>

<file path=xl/sharedStrings.xml><?xml version="1.0" encoding="utf-8"?>
<sst xmlns="http://schemas.openxmlformats.org/spreadsheetml/2006/main" count="146" uniqueCount="80">
  <si>
    <t>V_input [V]</t>
  </si>
  <si>
    <t>V_input [V]</t>
    <phoneticPr fontId="1"/>
  </si>
  <si>
    <t>脈動率 γ</t>
  </si>
  <si>
    <t>脈動率 γ</t>
    <rPh sb="0" eb="3">
      <t>ミャｋウ</t>
    </rPh>
    <phoneticPr fontId="1"/>
  </si>
  <si>
    <t xml:space="preserve">ΔV_out [V] </t>
  </si>
  <si>
    <t xml:space="preserve">ΔV_out [V] </t>
    <phoneticPr fontId="1"/>
  </si>
  <si>
    <t>実効出力電圧 V_b [V]</t>
  </si>
  <si>
    <t>実効出力電圧 V_b [V]</t>
    <rPh sb="0" eb="2">
      <t>ジッコウ</t>
    </rPh>
    <rPh sb="2" eb="6">
      <t>シュツリョクデ</t>
    </rPh>
    <phoneticPr fontId="1"/>
  </si>
  <si>
    <t>アノード電流 I [A]</t>
  </si>
  <si>
    <t>アノード電流 I [A]</t>
    <rPh sb="4" eb="6">
      <t>デンリュウ</t>
    </rPh>
    <phoneticPr fontId="1"/>
  </si>
  <si>
    <t>カソード電流I_a [A]</t>
  </si>
  <si>
    <t>カソード電流I_a [A]</t>
    <rPh sb="4" eb="6">
      <t>デンリュウ</t>
    </rPh>
    <phoneticPr fontId="1"/>
  </si>
  <si>
    <t>コンデンサ</t>
  </si>
  <si>
    <t>コンデンサ</t>
    <phoneticPr fontId="1"/>
  </si>
  <si>
    <t>平均出力電圧 V_a [V]</t>
  </si>
  <si>
    <t>平均出力電圧 V_a [V]</t>
    <rPh sb="0" eb="2">
      <t>ヘイｋイ</t>
    </rPh>
    <rPh sb="2" eb="4">
      <t>ｓｙウ</t>
    </rPh>
    <rPh sb="4" eb="6">
      <t>デンアｔウ</t>
    </rPh>
    <phoneticPr fontId="1"/>
  </si>
  <si>
    <t>理論値と実測値</t>
  </si>
  <si>
    <t>理論値と実測値</t>
    <rPh sb="0" eb="3">
      <t>リロｎン</t>
    </rPh>
    <rPh sb="4" eb="7">
      <t>ジッソクｔイ</t>
    </rPh>
    <phoneticPr fontId="1"/>
  </si>
  <si>
    <t>平均値</t>
  </si>
  <si>
    <t>平均値</t>
    <rPh sb="0" eb="3">
      <t>ヘイキｎン</t>
    </rPh>
    <phoneticPr fontId="1"/>
  </si>
  <si>
    <t>実効値</t>
  </si>
  <si>
    <t>実効値</t>
    <rPh sb="0" eb="3">
      <t>ジッコウ</t>
    </rPh>
    <phoneticPr fontId="1"/>
  </si>
  <si>
    <t>平均値誤差率</t>
  </si>
  <si>
    <t>平均値誤差率</t>
    <rPh sb="0" eb="5">
      <t>ヘイキｎン</t>
    </rPh>
    <rPh sb="5" eb="6">
      <t>リｔウ</t>
    </rPh>
    <phoneticPr fontId="1"/>
  </si>
  <si>
    <t>実効値誤差率</t>
  </si>
  <si>
    <t>実効値誤差率</t>
    <rPh sb="0" eb="6">
      <t>ジッコウ</t>
    </rPh>
    <phoneticPr fontId="1"/>
  </si>
  <si>
    <t>最大値</t>
  </si>
  <si>
    <t>最大値</t>
    <rPh sb="0" eb="3">
      <t>サイダイ</t>
    </rPh>
    <phoneticPr fontId="1"/>
  </si>
  <si>
    <t>最小値</t>
  </si>
  <si>
    <t>最小値</t>
    <rPh sb="0" eb="3">
      <t>サイｓｙオ</t>
    </rPh>
    <phoneticPr fontId="1"/>
  </si>
  <si>
    <t>N/A</t>
    <phoneticPr fontId="1"/>
  </si>
  <si>
    <t>最大値 (DC)</t>
    <rPh sb="0" eb="3">
      <t>サイダイ</t>
    </rPh>
    <phoneticPr fontId="1"/>
  </si>
  <si>
    <t>制御角 [°]</t>
    <rPh sb="0" eb="3">
      <t>セイｇｙオ</t>
    </rPh>
    <phoneticPr fontId="1"/>
  </si>
  <si>
    <t>型番</t>
    <rPh sb="0" eb="2">
      <t>カタバｎン</t>
    </rPh>
    <phoneticPr fontId="1"/>
  </si>
  <si>
    <t>シリアル番号</t>
    <phoneticPr fontId="1"/>
  </si>
  <si>
    <t>製造元</t>
    <rPh sb="0" eb="3">
      <t>セイゾウム</t>
    </rPh>
    <phoneticPr fontId="1"/>
  </si>
  <si>
    <t>種別</t>
    <rPh sb="0" eb="2">
      <t>シュベｔウ</t>
    </rPh>
    <phoneticPr fontId="1"/>
  </si>
  <si>
    <t>単相変圧器</t>
    <rPh sb="0" eb="5">
      <t>タンソウ</t>
    </rPh>
    <phoneticPr fontId="1"/>
  </si>
  <si>
    <t>三相変圧器</t>
    <rPh sb="0" eb="5">
      <t>サンｓオ</t>
    </rPh>
    <phoneticPr fontId="1"/>
  </si>
  <si>
    <t>滑り抵抗器</t>
    <rPh sb="0" eb="1">
      <t>スベｒイ</t>
    </rPh>
    <phoneticPr fontId="1"/>
  </si>
  <si>
    <t>オシロスコープ</t>
    <phoneticPr fontId="1"/>
  </si>
  <si>
    <t>ダイオード</t>
    <phoneticPr fontId="1"/>
  </si>
  <si>
    <t>YAMABISHI ELECCTRIC CO.,LTD.</t>
    <phoneticPr fontId="1"/>
  </si>
  <si>
    <t>SLIDER S3P-240-15</t>
    <phoneticPr fontId="1"/>
  </si>
  <si>
    <t>S-24-5B</t>
    <phoneticPr fontId="1"/>
  </si>
  <si>
    <t>東芝</t>
    <rPh sb="0" eb="2">
      <t>トウｓイ</t>
    </rPh>
    <phoneticPr fontId="1"/>
  </si>
  <si>
    <t>S02E</t>
    <phoneticPr fontId="1"/>
  </si>
  <si>
    <t>6FC13</t>
    <phoneticPr fontId="1"/>
  </si>
  <si>
    <t>日立</t>
    <rPh sb="0" eb="2">
      <t xml:space="preserve">ヒタチ </t>
    </rPh>
    <phoneticPr fontId="1"/>
  </si>
  <si>
    <t>MATSUSHITA COMMUNICATION INDUSTRIAL CO.,LTD.</t>
    <phoneticPr fontId="1"/>
  </si>
  <si>
    <t>VQ-7155</t>
    <phoneticPr fontId="1"/>
  </si>
  <si>
    <t>電流プローブ</t>
    <rPh sb="0" eb="2">
      <t>デンリュウ</t>
    </rPh>
    <phoneticPr fontId="1"/>
  </si>
  <si>
    <t>電圧プローブ</t>
    <rPh sb="0" eb="1">
      <t>デンアｔウ</t>
    </rPh>
    <phoneticPr fontId="1"/>
  </si>
  <si>
    <t>株式会社 横河電機製作所</t>
    <rPh sb="0" eb="4">
      <t>カｂウ</t>
    </rPh>
    <rPh sb="5" eb="7">
      <t>ヨｋオ</t>
    </rPh>
    <rPh sb="7" eb="9">
      <t>💡</t>
    </rPh>
    <rPh sb="9" eb="12">
      <t>セイサｋウ</t>
    </rPh>
    <phoneticPr fontId="1"/>
  </si>
  <si>
    <t>SS-3</t>
    <phoneticPr fontId="1"/>
  </si>
  <si>
    <t>K2033M84</t>
    <phoneticPr fontId="1"/>
  </si>
  <si>
    <t>YOKOGAWA ELECTRIC WORKS, LTD.</t>
    <phoneticPr fontId="1"/>
  </si>
  <si>
    <t>電流計 A.C.</t>
    <rPh sb="0" eb="3">
      <t>デンリュウ</t>
    </rPh>
    <phoneticPr fontId="1"/>
  </si>
  <si>
    <t>電流計 D.C.</t>
    <rPh sb="0" eb="1">
      <t>デンリュウ</t>
    </rPh>
    <phoneticPr fontId="1"/>
  </si>
  <si>
    <t>電圧計 平均</t>
    <rPh sb="0" eb="3">
      <t>デンアｔウ</t>
    </rPh>
    <rPh sb="4" eb="6">
      <t>ヘイｋイ</t>
    </rPh>
    <phoneticPr fontId="1"/>
  </si>
  <si>
    <t>電圧計 実効値</t>
    <rPh sb="0" eb="3">
      <t>デンアｔウ</t>
    </rPh>
    <rPh sb="4" eb="7">
      <t>ジッコウ</t>
    </rPh>
    <phoneticPr fontId="1"/>
  </si>
  <si>
    <t>電圧計 A.C.</t>
    <rPh sb="0" eb="3">
      <t>デンアｔウ</t>
    </rPh>
    <phoneticPr fontId="1"/>
  </si>
  <si>
    <t>1965</t>
    <phoneticPr fontId="1"/>
  </si>
  <si>
    <t>52A555</t>
    <phoneticPr fontId="1"/>
  </si>
  <si>
    <t>M515B113</t>
    <phoneticPr fontId="1"/>
  </si>
  <si>
    <t>E21</t>
    <phoneticPr fontId="1"/>
  </si>
  <si>
    <t>FUJIDENKI</t>
    <phoneticPr fontId="1"/>
  </si>
  <si>
    <t>TM</t>
    <phoneticPr fontId="1"/>
  </si>
  <si>
    <t>1113518T</t>
    <phoneticPr fontId="1"/>
  </si>
  <si>
    <t>TS</t>
    <phoneticPr fontId="1"/>
  </si>
  <si>
    <t>8C0148</t>
    <phoneticPr fontId="1"/>
  </si>
  <si>
    <t>9X01487</t>
    <phoneticPr fontId="1"/>
  </si>
  <si>
    <t>Tektonix</t>
    <phoneticPr fontId="1"/>
  </si>
  <si>
    <t>TDS1012B</t>
    <phoneticPr fontId="1"/>
  </si>
  <si>
    <t>C030189</t>
    <phoneticPr fontId="1"/>
  </si>
  <si>
    <t>HIOKI</t>
    <phoneticPr fontId="1"/>
  </si>
  <si>
    <t>9694</t>
    <phoneticPr fontId="1"/>
  </si>
  <si>
    <t>070215861</t>
    <phoneticPr fontId="1"/>
  </si>
  <si>
    <t>P2220</t>
    <phoneticPr fontId="1"/>
  </si>
  <si>
    <t>57843710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</si>
</sst>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_);[Red]\(0\)"/>
    <numFmt numFmtId="178" formatCode="0.0"/>
    <numFmt numFmtId="185" formatCode="0.0%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0" fillId="0" borderId="3" xfId="0" applyNumberFormat="1" applyBorder="1">
      <alignment vertical="center"/>
    </xf>
    <xf numFmtId="2" fontId="0" fillId="0" borderId="3" xfId="0" applyNumberFormat="1" applyBorder="1">
      <alignment vertical="center"/>
    </xf>
    <xf numFmtId="176" fontId="0" fillId="0" borderId="4" xfId="0" applyNumberFormat="1" applyBorder="1">
      <alignment vertical="center"/>
    </xf>
    <xf numFmtId="0" fontId="0" fillId="0" borderId="4" xfId="0" applyBorder="1">
      <alignment vertical="center"/>
    </xf>
    <xf numFmtId="2" fontId="0" fillId="0" borderId="4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7" xfId="0" applyNumberFormat="1" applyBorder="1">
      <alignment vertical="center"/>
    </xf>
    <xf numFmtId="0" fontId="0" fillId="0" borderId="7" xfId="0" applyBorder="1">
      <alignment vertical="center"/>
    </xf>
    <xf numFmtId="2" fontId="0" fillId="0" borderId="7" xfId="0" applyNumberFormat="1" applyBorder="1">
      <alignment vertical="center"/>
    </xf>
    <xf numFmtId="2" fontId="0" fillId="0" borderId="0" xfId="0" applyNumberFormat="1">
      <alignment vertical="center"/>
    </xf>
    <xf numFmtId="177" fontId="0" fillId="0" borderId="4" xfId="0" applyNumberFormat="1" applyBorder="1">
      <alignment vertical="center"/>
    </xf>
    <xf numFmtId="0" fontId="0" fillId="0" borderId="9" xfId="0" applyBorder="1">
      <alignment vertical="center"/>
    </xf>
    <xf numFmtId="177" fontId="0" fillId="0" borderId="0" xfId="0" applyNumberFormat="1">
      <alignment vertical="center"/>
    </xf>
    <xf numFmtId="10" fontId="0" fillId="0" borderId="0" xfId="0" applyNumberFormat="1">
      <alignment vertical="center"/>
    </xf>
    <xf numFmtId="178" fontId="0" fillId="0" borderId="4" xfId="0" applyNumberFormat="1" applyBorder="1">
      <alignment vertical="center"/>
    </xf>
    <xf numFmtId="2" fontId="0" fillId="0" borderId="6" xfId="0" applyNumberFormat="1" applyBorder="1">
      <alignment vertical="center"/>
    </xf>
    <xf numFmtId="178" fontId="0" fillId="0" borderId="0" xfId="0" applyNumberFormat="1">
      <alignment vertical="center"/>
    </xf>
    <xf numFmtId="10" fontId="0" fillId="0" borderId="4" xfId="0" applyNumberFormat="1" applyBorder="1">
      <alignment vertical="center"/>
    </xf>
    <xf numFmtId="10" fontId="0" fillId="0" borderId="5" xfId="0" applyNumberFormat="1" applyBorder="1">
      <alignment vertical="center"/>
    </xf>
    <xf numFmtId="10" fontId="0" fillId="0" borderId="7" xfId="0" applyNumberFormat="1" applyBorder="1">
      <alignment vertical="center"/>
    </xf>
    <xf numFmtId="10" fontId="0" fillId="0" borderId="8" xfId="0" applyNumberFormat="1" applyBorder="1">
      <alignment vertical="center"/>
    </xf>
    <xf numFmtId="177" fontId="0" fillId="0" borderId="7" xfId="0" applyNumberFormat="1" applyBorder="1">
      <alignment vertical="center"/>
    </xf>
    <xf numFmtId="0" fontId="2" fillId="0" borderId="1" xfId="0" applyFont="1" applyBorder="1">
      <alignment vertical="center"/>
    </xf>
    <xf numFmtId="0" fontId="2" fillId="0" borderId="7" xfId="0" applyFont="1" applyBorder="1">
      <alignment vertical="center"/>
    </xf>
    <xf numFmtId="176" fontId="2" fillId="0" borderId="7" xfId="0" applyNumberFormat="1" applyFont="1" applyBorder="1">
      <alignment vertical="center"/>
    </xf>
    <xf numFmtId="178" fontId="2" fillId="0" borderId="7" xfId="0" applyNumberFormat="1" applyFont="1" applyBorder="1">
      <alignment vertical="center"/>
    </xf>
    <xf numFmtId="177" fontId="2" fillId="0" borderId="7" xfId="0" applyNumberFormat="1" applyFont="1" applyBorder="1">
      <alignment vertical="center"/>
    </xf>
    <xf numFmtId="177" fontId="2" fillId="0" borderId="0" xfId="0" applyNumberFormat="1" applyFont="1">
      <alignment vertical="center"/>
    </xf>
    <xf numFmtId="178" fontId="0" fillId="0" borderId="7" xfId="0" applyNumberFormat="1" applyBorder="1">
      <alignment vertical="center"/>
    </xf>
    <xf numFmtId="0" fontId="0" fillId="0" borderId="0" xfId="0" applyFill="1" applyBorder="1">
      <alignment vertical="center"/>
    </xf>
    <xf numFmtId="178" fontId="2" fillId="0" borderId="0" xfId="0" applyNumberFormat="1" applyFont="1">
      <alignment vertical="center"/>
    </xf>
    <xf numFmtId="0" fontId="0" fillId="0" borderId="0" xfId="0" applyBorder="1">
      <alignment vertical="center"/>
    </xf>
    <xf numFmtId="185" fontId="2" fillId="0" borderId="7" xfId="0" applyNumberFormat="1" applyFont="1" applyBorder="1">
      <alignment vertical="center"/>
    </xf>
    <xf numFmtId="185" fontId="2" fillId="0" borderId="0" xfId="0" applyNumberFormat="1" applyFont="1">
      <alignment vertical="center"/>
    </xf>
    <xf numFmtId="9" fontId="2" fillId="0" borderId="7" xfId="0" applyNumberFormat="1" applyFont="1" applyBorder="1">
      <alignment vertical="center"/>
    </xf>
    <xf numFmtId="9" fontId="2" fillId="0" borderId="0" xfId="0" applyNumberFormat="1" applyFont="1">
      <alignment vertical="center"/>
    </xf>
    <xf numFmtId="185" fontId="0" fillId="0" borderId="0" xfId="0" applyNumberFormat="1">
      <alignment vertical="center"/>
    </xf>
    <xf numFmtId="178" fontId="2" fillId="0" borderId="0" xfId="0" applyNumberFormat="1" applyFont="1" applyBorder="1">
      <alignment vertical="center"/>
    </xf>
    <xf numFmtId="0" fontId="2" fillId="0" borderId="0" xfId="0" applyFont="1" applyBorder="1">
      <alignment vertical="center"/>
    </xf>
    <xf numFmtId="176" fontId="2" fillId="0" borderId="0" xfId="0" applyNumberFormat="1" applyFont="1" applyBorder="1">
      <alignment vertical="center"/>
    </xf>
    <xf numFmtId="0" fontId="2" fillId="0" borderId="6" xfId="0" applyFont="1" applyBorder="1">
      <alignment vertical="center"/>
    </xf>
    <xf numFmtId="176" fontId="2" fillId="0" borderId="6" xfId="0" applyNumberFormat="1" applyFont="1" applyBorder="1">
      <alignment vertical="center"/>
    </xf>
    <xf numFmtId="178" fontId="2" fillId="0" borderId="6" xfId="0" applyNumberFormat="1" applyFont="1" applyBorder="1">
      <alignment vertical="center"/>
    </xf>
    <xf numFmtId="185" fontId="0" fillId="0" borderId="0" xfId="0" applyNumberFormat="1" applyBorder="1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02DA-D88B-644C-AE43-855E6996FFD3}">
  <dimension ref="A1:H12"/>
  <sheetViews>
    <sheetView zoomScale="150" workbookViewId="0">
      <selection activeCell="D17" sqref="D17"/>
    </sheetView>
  </sheetViews>
  <sheetFormatPr baseColWidth="10" defaultRowHeight="20"/>
  <cols>
    <col min="1" max="1" width="17.140625" customWidth="1"/>
    <col min="2" max="2" width="11" customWidth="1"/>
    <col min="3" max="3" width="16.42578125" customWidth="1"/>
    <col min="4" max="4" width="17.85546875" customWidth="1"/>
    <col min="5" max="5" width="18.5703125" customWidth="1"/>
    <col min="6" max="6" width="18.7109375" customWidth="1"/>
    <col min="7" max="7" width="12.140625" customWidth="1"/>
  </cols>
  <sheetData>
    <row r="1" spans="1:8" ht="21" thickBot="1"/>
    <row r="2" spans="1:8" ht="21" thickBot="1">
      <c r="B2" s="3" t="s">
        <v>1</v>
      </c>
      <c r="C2" s="3" t="s">
        <v>9</v>
      </c>
      <c r="D2" s="3" t="s">
        <v>11</v>
      </c>
      <c r="E2" s="3" t="s">
        <v>15</v>
      </c>
      <c r="F2" s="3" t="s">
        <v>7</v>
      </c>
      <c r="G2" s="3" t="s">
        <v>5</v>
      </c>
      <c r="H2" s="3" t="s">
        <v>3</v>
      </c>
    </row>
    <row r="3" spans="1:8">
      <c r="B3" s="5">
        <v>40</v>
      </c>
      <c r="C3" s="6">
        <v>0.378</v>
      </c>
      <c r="D3" s="5">
        <v>0.24099999999999999</v>
      </c>
      <c r="E3" s="5">
        <v>16.899999999999999</v>
      </c>
      <c r="F3" s="5">
        <v>26.6</v>
      </c>
      <c r="G3" s="5">
        <v>53.6</v>
      </c>
      <c r="H3" s="7">
        <f>G3/E3</f>
        <v>3.1715976331360949</v>
      </c>
    </row>
    <row r="4" spans="1:8">
      <c r="B4" s="9">
        <v>50</v>
      </c>
      <c r="C4" s="8">
        <v>0.47799999999999998</v>
      </c>
      <c r="D4" s="9">
        <v>0.30199999999999999</v>
      </c>
      <c r="E4" s="9">
        <v>21.3</v>
      </c>
      <c r="F4" s="9">
        <v>33.6</v>
      </c>
      <c r="G4" s="9">
        <v>66.400000000000006</v>
      </c>
      <c r="H4" s="10">
        <f t="shared" ref="H4:H5" si="0">G4/E4</f>
        <v>3.1173708920187795</v>
      </c>
    </row>
    <row r="5" spans="1:8">
      <c r="B5" s="9">
        <v>60</v>
      </c>
      <c r="C5" s="8">
        <v>0.58099999999999996</v>
      </c>
      <c r="D5" s="9">
        <v>0.379</v>
      </c>
      <c r="E5" s="20">
        <v>26</v>
      </c>
      <c r="F5" s="9">
        <v>41.2</v>
      </c>
      <c r="G5" s="9">
        <v>82</v>
      </c>
      <c r="H5" s="10">
        <f t="shared" si="0"/>
        <v>3.1538461538461537</v>
      </c>
    </row>
    <row r="6" spans="1:8">
      <c r="A6" t="s">
        <v>13</v>
      </c>
      <c r="B6" s="9">
        <v>40</v>
      </c>
      <c r="C6" s="8">
        <v>1.58</v>
      </c>
      <c r="D6" s="9">
        <v>0.66900000000000004</v>
      </c>
      <c r="E6" s="9">
        <v>46.5</v>
      </c>
      <c r="F6" s="9">
        <v>47.3</v>
      </c>
      <c r="G6" s="9">
        <v>11.8</v>
      </c>
      <c r="H6" s="10">
        <f>G6/E6</f>
        <v>0.25376344086021507</v>
      </c>
    </row>
    <row r="7" spans="1:8">
      <c r="B7">
        <v>50</v>
      </c>
      <c r="C7" s="11">
        <v>1.97</v>
      </c>
      <c r="D7">
        <v>0.84199999999999997</v>
      </c>
      <c r="E7">
        <v>58.3</v>
      </c>
      <c r="F7">
        <v>58.9</v>
      </c>
      <c r="G7">
        <v>14.6</v>
      </c>
      <c r="H7" s="15">
        <f t="shared" ref="H7" si="1">G7/E7</f>
        <v>0.2504288164665523</v>
      </c>
    </row>
    <row r="8" spans="1:8" ht="21" thickBot="1">
      <c r="C8" s="11"/>
      <c r="H8" s="15"/>
    </row>
    <row r="9" spans="1:8">
      <c r="A9" t="s">
        <v>17</v>
      </c>
      <c r="B9" s="17" t="s">
        <v>1</v>
      </c>
      <c r="C9" s="17" t="s">
        <v>19</v>
      </c>
      <c r="D9" s="17" t="s">
        <v>23</v>
      </c>
      <c r="E9" s="17" t="s">
        <v>21</v>
      </c>
      <c r="F9" s="17" t="s">
        <v>25</v>
      </c>
    </row>
    <row r="10" spans="1:8">
      <c r="B10" s="18">
        <v>40</v>
      </c>
      <c r="C10" s="15">
        <f>(SQRT(2)*B10)/PI()</f>
        <v>18.006326323142122</v>
      </c>
      <c r="D10" s="19">
        <f>(E3-C10)/C10</f>
        <v>-6.1440979314045262E-2</v>
      </c>
      <c r="E10" s="15">
        <f>(SQRT(2)*B10)/2</f>
        <v>28.284271247461902</v>
      </c>
      <c r="F10" s="19">
        <f>(F3-E10)/E10</f>
        <v>-5.954798102189178E-2</v>
      </c>
    </row>
    <row r="11" spans="1:8">
      <c r="B11" s="18">
        <v>50</v>
      </c>
      <c r="C11" s="15">
        <f>(SQRT(2)*B11)/PI()</f>
        <v>22.507907903927652</v>
      </c>
      <c r="D11" s="19">
        <f t="shared" ref="D11:D12" si="2">(E4-C11)/C11</f>
        <v>-5.3665934172267976E-2</v>
      </c>
      <c r="E11" s="15">
        <f t="shared" ref="E11:E12" si="3">(SQRT(2)*B11)/2</f>
        <v>35.355339059327378</v>
      </c>
      <c r="F11" s="19">
        <f t="shared" ref="F11:F12" si="4">(F4-E11)/E11</f>
        <v>-4.9648486085280122E-2</v>
      </c>
    </row>
    <row r="12" spans="1:8">
      <c r="B12" s="18">
        <v>60</v>
      </c>
      <c r="C12" s="15">
        <f>(SQRT(2)*B12)/PI()</f>
        <v>27.009489484713185</v>
      </c>
      <c r="D12" s="19">
        <f t="shared" si="2"/>
        <v>-3.737536339902077E-2</v>
      </c>
      <c r="E12" s="15">
        <f t="shared" si="3"/>
        <v>42.426406871192853</v>
      </c>
      <c r="F12" s="19">
        <f t="shared" si="4"/>
        <v>-2.8906687170474701E-2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7E45-9238-6844-AE47-43C43030BBE9}">
  <dimension ref="A1:J12"/>
  <sheetViews>
    <sheetView zoomScale="134" workbookViewId="0">
      <selection activeCell="H17" sqref="H17"/>
    </sheetView>
  </sheetViews>
  <sheetFormatPr baseColWidth="10" defaultRowHeight="20"/>
  <cols>
    <col min="1" max="1" width="16.42578125" customWidth="1"/>
    <col min="2" max="2" width="12.42578125" customWidth="1"/>
    <col min="3" max="3" width="16.140625" customWidth="1"/>
    <col min="4" max="4" width="18.28515625" customWidth="1"/>
    <col min="5" max="5" width="18" customWidth="1"/>
    <col min="6" max="6" width="18.28515625" customWidth="1"/>
    <col min="7" max="7" width="12.140625" customWidth="1"/>
    <col min="8" max="8" width="12.28515625" customWidth="1"/>
  </cols>
  <sheetData>
    <row r="1" spans="1:10" ht="21" thickBot="1"/>
    <row r="2" spans="1:10" ht="21" thickBot="1">
      <c r="B2" s="3" t="s">
        <v>1</v>
      </c>
      <c r="C2" s="3" t="s">
        <v>9</v>
      </c>
      <c r="D2" s="3" t="s">
        <v>11</v>
      </c>
      <c r="E2" s="3" t="s">
        <v>15</v>
      </c>
      <c r="F2" s="3" t="s">
        <v>7</v>
      </c>
      <c r="G2" s="3" t="s">
        <v>27</v>
      </c>
      <c r="H2" s="3" t="s">
        <v>29</v>
      </c>
      <c r="I2" s="3" t="s">
        <v>5</v>
      </c>
      <c r="J2" s="3" t="s">
        <v>3</v>
      </c>
    </row>
    <row r="3" spans="1:10">
      <c r="B3" s="13">
        <v>40</v>
      </c>
      <c r="C3" s="12">
        <v>0.52200000000000002</v>
      </c>
      <c r="D3" s="13">
        <v>0.47899999999999998</v>
      </c>
      <c r="E3" s="13">
        <v>33.6</v>
      </c>
      <c r="F3" s="13">
        <v>37.6</v>
      </c>
      <c r="G3" s="13" t="s">
        <v>30</v>
      </c>
      <c r="H3" s="13" t="s">
        <v>30</v>
      </c>
      <c r="I3" s="13">
        <v>54.4</v>
      </c>
      <c r="J3" s="14">
        <f>I3/E3</f>
        <v>1.6190476190476188</v>
      </c>
    </row>
    <row r="4" spans="1:10">
      <c r="B4" s="9">
        <v>50</v>
      </c>
      <c r="C4" s="8">
        <v>0.67600000000000005</v>
      </c>
      <c r="D4" s="9">
        <v>0.61199999999999999</v>
      </c>
      <c r="E4" s="9">
        <v>42.6</v>
      </c>
      <c r="F4" s="9">
        <v>47.6</v>
      </c>
      <c r="G4" s="9" t="s">
        <v>30</v>
      </c>
      <c r="H4" s="9" t="s">
        <v>30</v>
      </c>
      <c r="I4" s="9">
        <v>67.2</v>
      </c>
      <c r="J4" s="10">
        <f>I4/E4</f>
        <v>1.5774647887323945</v>
      </c>
    </row>
    <row r="5" spans="1:10">
      <c r="B5" s="9">
        <v>60</v>
      </c>
      <c r="C5" s="8">
        <v>0.82</v>
      </c>
      <c r="D5" s="9">
        <v>0.749</v>
      </c>
      <c r="E5" s="20">
        <v>51.5</v>
      </c>
      <c r="F5" s="9">
        <v>57.7</v>
      </c>
      <c r="G5" s="9" t="s">
        <v>30</v>
      </c>
      <c r="H5" s="9" t="s">
        <v>30</v>
      </c>
      <c r="I5" s="9">
        <v>83.2</v>
      </c>
      <c r="J5" s="10">
        <f>I5/E5</f>
        <v>1.6155339805825244</v>
      </c>
    </row>
    <row r="6" spans="1:10">
      <c r="A6" t="s">
        <v>13</v>
      </c>
      <c r="B6" s="9">
        <v>40</v>
      </c>
      <c r="C6" s="8">
        <v>1.296</v>
      </c>
      <c r="D6" s="9">
        <v>0.71199999999999997</v>
      </c>
      <c r="E6" s="9">
        <v>49.9</v>
      </c>
      <c r="F6" s="9">
        <v>50</v>
      </c>
      <c r="G6" s="9">
        <v>54.4</v>
      </c>
      <c r="H6" s="9">
        <v>49.4</v>
      </c>
      <c r="I6" s="10">
        <f>G6-H6</f>
        <v>5</v>
      </c>
      <c r="J6" s="10">
        <f>I6/E6</f>
        <v>0.10020040080160321</v>
      </c>
    </row>
    <row r="7" spans="1:10">
      <c r="B7">
        <v>50</v>
      </c>
      <c r="C7" s="11">
        <v>1.5780000000000001</v>
      </c>
      <c r="D7">
        <v>0.88800000000000001</v>
      </c>
      <c r="E7">
        <v>61.7</v>
      </c>
      <c r="F7">
        <v>61.9</v>
      </c>
      <c r="G7" s="22">
        <v>67</v>
      </c>
      <c r="H7">
        <v>60.8</v>
      </c>
      <c r="I7" s="15">
        <f>G7-H7</f>
        <v>6.2000000000000028</v>
      </c>
      <c r="J7" s="15">
        <f>I7/E7</f>
        <v>0.10048622366288497</v>
      </c>
    </row>
    <row r="8" spans="1:10" ht="21" thickBot="1">
      <c r="C8" s="11"/>
    </row>
    <row r="9" spans="1:10" ht="21" thickBot="1">
      <c r="A9" t="s">
        <v>17</v>
      </c>
      <c r="B9" s="3" t="s">
        <v>1</v>
      </c>
      <c r="C9" s="3" t="s">
        <v>19</v>
      </c>
      <c r="D9" s="3" t="s">
        <v>23</v>
      </c>
      <c r="E9" s="3" t="s">
        <v>21</v>
      </c>
      <c r="F9" s="4" t="s">
        <v>25</v>
      </c>
    </row>
    <row r="10" spans="1:10">
      <c r="B10" s="27">
        <v>40</v>
      </c>
      <c r="C10" s="14">
        <f>(2*SQRT(2)*B10)/PI()</f>
        <v>36.012652646284245</v>
      </c>
      <c r="D10" s="25">
        <f>(E3-C10)/C10</f>
        <v>-6.6994582986743101E-2</v>
      </c>
      <c r="E10" s="14">
        <f>B10</f>
        <v>40</v>
      </c>
      <c r="F10" s="26">
        <f>(F3-E10)/E10</f>
        <v>-5.9999999999999963E-2</v>
      </c>
    </row>
    <row r="11" spans="1:10">
      <c r="B11" s="16">
        <v>50</v>
      </c>
      <c r="C11" s="10">
        <f t="shared" ref="C11:C12" si="0">(2*SQRT(2)*B11)/PI()</f>
        <v>45.015815807855304</v>
      </c>
      <c r="D11" s="23">
        <f t="shared" ref="D11:D12" si="1">(E4-C11)/C11</f>
        <v>-5.3665934172267976E-2</v>
      </c>
      <c r="E11" s="10">
        <f t="shared" ref="E11:E12" si="2">B11</f>
        <v>50</v>
      </c>
      <c r="F11" s="24">
        <f t="shared" ref="F11:F12" si="3">(F4-E11)/E11</f>
        <v>-4.7999999999999973E-2</v>
      </c>
    </row>
    <row r="12" spans="1:10">
      <c r="B12" s="18">
        <v>60</v>
      </c>
      <c r="C12" s="15">
        <f t="shared" si="0"/>
        <v>54.018978969426371</v>
      </c>
      <c r="D12" s="19">
        <f t="shared" si="1"/>
        <v>-4.6631369520184027E-2</v>
      </c>
      <c r="E12" s="15">
        <f t="shared" si="2"/>
        <v>60</v>
      </c>
      <c r="F12" s="19">
        <f t="shared" si="3"/>
        <v>-3.8333333333333289E-2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3FA84-6D3D-2D40-A8EB-B01DBD733463}">
  <dimension ref="A1:J12"/>
  <sheetViews>
    <sheetView zoomScale="139" workbookViewId="0">
      <selection activeCell="C5" sqref="C5"/>
    </sheetView>
  </sheetViews>
  <sheetFormatPr baseColWidth="10" defaultRowHeight="20"/>
  <cols>
    <col min="3" max="3" width="15.42578125" customWidth="1"/>
    <col min="4" max="4" width="17.7109375" customWidth="1"/>
    <col min="5" max="5" width="17.5703125" customWidth="1"/>
    <col min="6" max="6" width="17.85546875" customWidth="1"/>
  </cols>
  <sheetData>
    <row r="1" spans="1:10" ht="21" thickBot="1"/>
    <row r="2" spans="1:10" ht="21" thickBot="1">
      <c r="B2" s="3" t="s">
        <v>1</v>
      </c>
      <c r="C2" s="3" t="s">
        <v>9</v>
      </c>
      <c r="D2" s="3" t="s">
        <v>11</v>
      </c>
      <c r="E2" s="3" t="s">
        <v>15</v>
      </c>
      <c r="F2" s="3" t="s">
        <v>7</v>
      </c>
      <c r="G2" s="3" t="s">
        <v>31</v>
      </c>
      <c r="H2" s="3" t="s">
        <v>29</v>
      </c>
      <c r="I2" s="3" t="s">
        <v>5</v>
      </c>
      <c r="J2" s="3" t="s">
        <v>3</v>
      </c>
    </row>
    <row r="3" spans="1:10">
      <c r="B3" s="13">
        <v>40</v>
      </c>
      <c r="C3" s="12">
        <v>0.23100000000000001</v>
      </c>
      <c r="D3" s="13">
        <v>0.36199999999999999</v>
      </c>
      <c r="E3" s="34">
        <v>25.8</v>
      </c>
      <c r="F3" s="34">
        <v>30.2</v>
      </c>
      <c r="G3" s="34">
        <v>44.8</v>
      </c>
      <c r="H3" s="34">
        <v>3.2</v>
      </c>
      <c r="I3" s="10">
        <f t="shared" ref="I3:I5" si="0">G3-H3</f>
        <v>41.599999999999994</v>
      </c>
      <c r="J3" s="14">
        <f>I3/E3</f>
        <v>1.6124031007751936</v>
      </c>
    </row>
    <row r="4" spans="1:10">
      <c r="B4" s="9">
        <v>50</v>
      </c>
      <c r="C4" s="8">
        <v>0.29099999999999998</v>
      </c>
      <c r="D4" s="9">
        <v>0.46200000000000002</v>
      </c>
      <c r="E4" s="20">
        <v>32</v>
      </c>
      <c r="F4" s="20">
        <v>37.4</v>
      </c>
      <c r="G4" s="20">
        <v>56</v>
      </c>
      <c r="H4" s="20">
        <v>5.6</v>
      </c>
      <c r="I4" s="10">
        <f t="shared" si="0"/>
        <v>50.4</v>
      </c>
      <c r="J4" s="10">
        <f>I4/E4</f>
        <v>1.575</v>
      </c>
    </row>
    <row r="5" spans="1:10">
      <c r="B5" s="9">
        <v>60</v>
      </c>
      <c r="C5" s="8">
        <v>0.35599999999999998</v>
      </c>
      <c r="D5" s="9">
        <v>0.55900000000000005</v>
      </c>
      <c r="E5" s="20">
        <v>38.6</v>
      </c>
      <c r="F5" s="20">
        <v>44.7</v>
      </c>
      <c r="G5" s="20">
        <v>68.8</v>
      </c>
      <c r="H5" s="20">
        <v>8.8000000000000007</v>
      </c>
      <c r="I5" s="10">
        <f t="shared" si="0"/>
        <v>60</v>
      </c>
      <c r="J5" s="10">
        <f>I5/E5</f>
        <v>1.5544041450777202</v>
      </c>
    </row>
    <row r="6" spans="1:10">
      <c r="A6" t="s">
        <v>13</v>
      </c>
      <c r="B6" s="9">
        <v>40</v>
      </c>
      <c r="C6" s="8">
        <v>0.378</v>
      </c>
      <c r="D6" s="9">
        <v>0.503</v>
      </c>
      <c r="E6" s="20">
        <v>36.6</v>
      </c>
      <c r="F6" s="20">
        <v>36.9</v>
      </c>
      <c r="G6" s="20">
        <v>38.799999999999997</v>
      </c>
      <c r="H6" s="20">
        <v>35.799999999999997</v>
      </c>
      <c r="I6" s="10">
        <v>2.84</v>
      </c>
      <c r="J6" s="10">
        <f>I6/E6</f>
        <v>7.7595628415300544E-2</v>
      </c>
    </row>
    <row r="7" spans="1:10">
      <c r="B7">
        <v>50</v>
      </c>
      <c r="C7" s="11">
        <v>0.46</v>
      </c>
      <c r="D7" s="35">
        <v>0.62</v>
      </c>
      <c r="E7" s="22">
        <v>43.9</v>
      </c>
      <c r="F7" s="22">
        <v>44.1</v>
      </c>
      <c r="G7" s="22">
        <v>47.4</v>
      </c>
      <c r="H7" s="22">
        <v>44.2</v>
      </c>
      <c r="I7" s="15">
        <v>3</v>
      </c>
      <c r="J7" s="15">
        <f>I7/E7</f>
        <v>6.8337129840546698E-2</v>
      </c>
    </row>
    <row r="8" spans="1:10" ht="21" thickBot="1">
      <c r="C8" s="11"/>
      <c r="G8" s="22"/>
      <c r="H8" s="22"/>
    </row>
    <row r="9" spans="1:10" ht="21" thickBot="1">
      <c r="A9" t="s">
        <v>17</v>
      </c>
      <c r="B9" s="3" t="s">
        <v>1</v>
      </c>
      <c r="C9" s="3" t="s">
        <v>19</v>
      </c>
      <c r="D9" s="3" t="s">
        <v>23</v>
      </c>
      <c r="E9" s="3" t="s">
        <v>21</v>
      </c>
      <c r="F9" s="3" t="s">
        <v>25</v>
      </c>
    </row>
    <row r="10" spans="1:10">
      <c r="B10" s="27">
        <v>40</v>
      </c>
      <c r="C10" s="14">
        <f>(3*SQRT(2)*B10)/(2*PI())</f>
        <v>27.009489484713185</v>
      </c>
      <c r="D10" s="25">
        <f>(E3-C10)/C10</f>
        <v>-4.4780168295951349E-2</v>
      </c>
      <c r="E10" s="14">
        <f>SQRT((1/3)+(SQRT(3)/(4*PI())))*B10</f>
        <v>27.456600144629164</v>
      </c>
      <c r="F10" s="25">
        <f>(F3-E10)/E10</f>
        <v>9.9917682485079165E-2</v>
      </c>
    </row>
    <row r="11" spans="1:10">
      <c r="B11" s="16">
        <v>50</v>
      </c>
      <c r="C11" s="14">
        <f t="shared" ref="C11:C12" si="1">(3*SQRT(2)*B11)/(2*PI())</f>
        <v>33.761861855891482</v>
      </c>
      <c r="D11" s="23">
        <f t="shared" ref="D11:D12" si="2">(E4-C11)/C11</f>
        <v>-5.2184973192881984E-2</v>
      </c>
      <c r="E11" s="14">
        <f t="shared" ref="E11:E12" si="3">SQRT((1/3)+(SQRT(3)/(4*PI())))*B11</f>
        <v>34.320750180786455</v>
      </c>
      <c r="F11" s="23">
        <f t="shared" ref="F11:F12" si="4">(F4-E11)/E11</f>
        <v>8.9719770197138018E-2</v>
      </c>
    </row>
    <row r="12" spans="1:10">
      <c r="B12" s="18">
        <v>60</v>
      </c>
      <c r="C12" s="15">
        <f t="shared" si="1"/>
        <v>40.514234227069778</v>
      </c>
      <c r="D12" s="19">
        <f t="shared" si="2"/>
        <v>-4.7248436594928209E-2</v>
      </c>
      <c r="E12" s="15">
        <f t="shared" si="3"/>
        <v>41.184900216943745</v>
      </c>
      <c r="F12" s="19">
        <f t="shared" si="4"/>
        <v>8.5349236359449077E-2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6EC8-E3F9-7B40-9138-0418A24BDD1A}">
  <dimension ref="A1:J15"/>
  <sheetViews>
    <sheetView zoomScale="150" workbookViewId="0">
      <selection activeCell="G2" sqref="G2"/>
    </sheetView>
  </sheetViews>
  <sheetFormatPr baseColWidth="10" defaultRowHeight="20"/>
  <cols>
    <col min="1" max="1" width="14.28515625" customWidth="1"/>
    <col min="3" max="3" width="15.85546875" customWidth="1"/>
    <col min="4" max="4" width="17.140625" customWidth="1"/>
    <col min="5" max="5" width="18.5703125" customWidth="1"/>
    <col min="6" max="6" width="18.42578125" customWidth="1"/>
  </cols>
  <sheetData>
    <row r="1" spans="1:10" ht="21" thickBo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1" thickBot="1">
      <c r="A2" s="1"/>
      <c r="B2" s="28" t="s">
        <v>0</v>
      </c>
      <c r="C2" s="28" t="s">
        <v>8</v>
      </c>
      <c r="D2" s="28" t="s">
        <v>10</v>
      </c>
      <c r="E2" s="28" t="s">
        <v>14</v>
      </c>
      <c r="F2" s="28" t="s">
        <v>6</v>
      </c>
      <c r="G2" s="28" t="s">
        <v>26</v>
      </c>
      <c r="H2" s="28" t="s">
        <v>28</v>
      </c>
      <c r="I2" s="28" t="s">
        <v>4</v>
      </c>
      <c r="J2" s="28" t="s">
        <v>2</v>
      </c>
    </row>
    <row r="3" spans="1:10">
      <c r="A3" s="1"/>
      <c r="B3" s="29">
        <v>40</v>
      </c>
      <c r="C3" s="30">
        <v>0.57999999999999996</v>
      </c>
      <c r="D3" s="29">
        <v>0.73</v>
      </c>
      <c r="E3" s="29">
        <v>51.1</v>
      </c>
      <c r="F3" s="29">
        <v>51.1</v>
      </c>
      <c r="G3" s="31">
        <v>55.2</v>
      </c>
      <c r="H3" s="31">
        <v>47.2</v>
      </c>
      <c r="I3" s="10">
        <v>7.76</v>
      </c>
      <c r="J3" s="14">
        <f>I3/E3</f>
        <v>0.15185909980430529</v>
      </c>
    </row>
    <row r="4" spans="1:10">
      <c r="A4" s="1"/>
      <c r="B4" s="29">
        <v>50</v>
      </c>
      <c r="C4" s="30">
        <v>0.72299999999999998</v>
      </c>
      <c r="D4" s="29">
        <v>0.93600000000000005</v>
      </c>
      <c r="E4" s="29">
        <v>64.2</v>
      </c>
      <c r="F4" s="29">
        <v>64.7</v>
      </c>
      <c r="G4" s="31">
        <v>69.599999999999994</v>
      </c>
      <c r="H4" s="31">
        <v>60</v>
      </c>
      <c r="I4" s="10">
        <f t="shared" ref="I3:I7" si="0">G4-H4</f>
        <v>9.5999999999999943</v>
      </c>
      <c r="J4" s="14">
        <f t="shared" ref="J4:J7" si="1">I4/E4</f>
        <v>0.14953271028037374</v>
      </c>
    </row>
    <row r="5" spans="1:10">
      <c r="A5" s="1"/>
      <c r="B5" s="29">
        <v>60</v>
      </c>
      <c r="C5" s="30">
        <v>0.89600000000000002</v>
      </c>
      <c r="D5" s="29">
        <v>1.1180000000000001</v>
      </c>
      <c r="E5" s="31">
        <v>78.099999999999994</v>
      </c>
      <c r="F5" s="29">
        <v>78.900000000000006</v>
      </c>
      <c r="G5" s="31">
        <v>86</v>
      </c>
      <c r="H5" s="31">
        <v>73.2</v>
      </c>
      <c r="I5" s="10">
        <f t="shared" si="0"/>
        <v>12.799999999999997</v>
      </c>
      <c r="J5" s="14">
        <f t="shared" si="1"/>
        <v>0.16389244558258639</v>
      </c>
    </row>
    <row r="6" spans="1:10">
      <c r="A6" s="1" t="s">
        <v>12</v>
      </c>
      <c r="B6" s="29">
        <v>40</v>
      </c>
      <c r="C6" s="30">
        <v>0.9</v>
      </c>
      <c r="D6" s="29">
        <v>0.74</v>
      </c>
      <c r="E6" s="29">
        <v>51.2</v>
      </c>
      <c r="F6" s="29">
        <v>52.2</v>
      </c>
      <c r="G6" s="31">
        <v>54.2</v>
      </c>
      <c r="H6" s="31">
        <v>52.2</v>
      </c>
      <c r="I6" s="10">
        <v>1.96</v>
      </c>
      <c r="J6" s="14">
        <f t="shared" si="1"/>
        <v>3.8281249999999996E-2</v>
      </c>
    </row>
    <row r="7" spans="1:10">
      <c r="A7" s="1"/>
      <c r="B7" s="1">
        <v>50</v>
      </c>
      <c r="C7" s="2">
        <v>1.002</v>
      </c>
      <c r="D7" s="1">
        <v>0.92800000000000005</v>
      </c>
      <c r="E7" s="1">
        <v>64.2</v>
      </c>
      <c r="F7" s="1">
        <v>65.3</v>
      </c>
      <c r="G7" s="36">
        <v>67</v>
      </c>
      <c r="H7" s="36">
        <v>65.2</v>
      </c>
      <c r="I7" s="21">
        <v>1.94</v>
      </c>
      <c r="J7" s="15">
        <f t="shared" si="1"/>
        <v>3.0218068535825544E-2</v>
      </c>
    </row>
    <row r="8" spans="1:10" ht="21" thickBot="1">
      <c r="A8" s="1"/>
      <c r="B8" s="1"/>
      <c r="C8" s="2"/>
      <c r="D8" s="1"/>
      <c r="E8" s="1"/>
      <c r="F8" s="1"/>
      <c r="G8" s="1"/>
      <c r="H8" s="1"/>
      <c r="I8" s="1"/>
      <c r="J8" s="1"/>
    </row>
    <row r="9" spans="1:10" ht="21" thickBot="1">
      <c r="A9" s="1" t="s">
        <v>16</v>
      </c>
      <c r="B9" s="28" t="s">
        <v>0</v>
      </c>
      <c r="C9" s="28" t="s">
        <v>18</v>
      </c>
      <c r="D9" s="28" t="s">
        <v>22</v>
      </c>
      <c r="E9" s="28" t="s">
        <v>20</v>
      </c>
      <c r="F9" s="28" t="s">
        <v>24</v>
      </c>
      <c r="G9" s="44"/>
      <c r="H9" s="1"/>
      <c r="I9" s="1"/>
      <c r="J9" s="1"/>
    </row>
    <row r="10" spans="1:10">
      <c r="A10" s="1"/>
      <c r="B10" s="32">
        <v>40</v>
      </c>
      <c r="C10" s="31">
        <f>(3*SQRT(2)*B10)/(PI())</f>
        <v>54.018978969426371</v>
      </c>
      <c r="D10" s="38">
        <f>(E3-C10)/C10</f>
        <v>-5.4036174417114613E-2</v>
      </c>
      <c r="E10" s="31">
        <f>((1+(3*SQRT(3))/(2*PI()))^(1/2)*B10)</f>
        <v>54.066527066312489</v>
      </c>
      <c r="F10" s="38">
        <f>(F3-E10)/E10</f>
        <v>-5.4868089875165234E-2</v>
      </c>
      <c r="G10" s="44"/>
      <c r="H10" s="1"/>
      <c r="I10" s="1"/>
      <c r="J10" s="1"/>
    </row>
    <row r="11" spans="1:10">
      <c r="A11" s="1"/>
      <c r="B11" s="32">
        <v>50</v>
      </c>
      <c r="C11" s="31">
        <f t="shared" ref="C11:C12" si="2">(3*SQRT(2)*B11)/(PI())</f>
        <v>67.523723711782964</v>
      </c>
      <c r="D11" s="38">
        <f t="shared" ref="D11:D12" si="3">(E4-C11)/C11</f>
        <v>-4.9223051234109701E-2</v>
      </c>
      <c r="E11" s="31">
        <f t="shared" ref="E11:E12" si="4">((1+(3*SQRT(3))/(2*PI()))^(1/2)*B11)</f>
        <v>67.583158832890604</v>
      </c>
      <c r="F11" s="38">
        <f t="shared" ref="F11:F12" si="5">(F4-E11)/E11</f>
        <v>-4.2660906691556678E-2</v>
      </c>
      <c r="G11" s="44"/>
      <c r="H11" s="1"/>
      <c r="I11" s="1"/>
      <c r="J11" s="1"/>
    </row>
    <row r="12" spans="1:10">
      <c r="A12" s="1"/>
      <c r="B12" s="33">
        <v>60</v>
      </c>
      <c r="C12" s="36">
        <f t="shared" si="2"/>
        <v>81.028468454139556</v>
      </c>
      <c r="D12" s="39">
        <f t="shared" si="3"/>
        <v>-3.6141229249532399E-2</v>
      </c>
      <c r="E12" s="43">
        <f t="shared" si="4"/>
        <v>81.099790599468733</v>
      </c>
      <c r="F12" s="39">
        <f t="shared" si="5"/>
        <v>-2.7124491730600567E-2</v>
      </c>
      <c r="G12" s="44"/>
      <c r="H12" s="1"/>
      <c r="I12" s="1"/>
      <c r="J12" s="1"/>
    </row>
    <row r="13" spans="1:10">
      <c r="E13" s="37"/>
      <c r="F13" s="42"/>
      <c r="G13" s="37"/>
    </row>
    <row r="14" spans="1:10">
      <c r="G14" s="37"/>
    </row>
    <row r="15" spans="1:10">
      <c r="G15" s="37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186C-D31F-DC4F-B82D-861CC47C78D8}">
  <dimension ref="A1:K13"/>
  <sheetViews>
    <sheetView zoomScale="189" workbookViewId="0">
      <selection activeCell="G10" sqref="D8:G10"/>
    </sheetView>
  </sheetViews>
  <sheetFormatPr baseColWidth="10" defaultRowHeight="20"/>
  <cols>
    <col min="1" max="1" width="14.28515625" customWidth="1"/>
    <col min="3" max="3" width="17.42578125" customWidth="1"/>
    <col min="4" max="4" width="15.85546875" customWidth="1"/>
    <col min="5" max="5" width="17.140625" customWidth="1"/>
    <col min="6" max="6" width="18.5703125" customWidth="1"/>
    <col min="7" max="7" width="18.42578125" customWidth="1"/>
  </cols>
  <sheetData>
    <row r="1" spans="1:11" ht="21" thickBot="1">
      <c r="A1" s="1"/>
      <c r="B1" s="1"/>
      <c r="C1" s="1"/>
      <c r="D1" s="1"/>
      <c r="E1" s="1"/>
      <c r="F1" s="1"/>
      <c r="G1" s="1"/>
      <c r="I1" s="1"/>
      <c r="J1" s="1"/>
      <c r="K1" s="1"/>
    </row>
    <row r="2" spans="1:11" ht="21" thickBot="1">
      <c r="A2" s="1"/>
      <c r="B2" s="28" t="s">
        <v>0</v>
      </c>
      <c r="C2" s="28" t="s">
        <v>32</v>
      </c>
      <c r="D2" s="28" t="s">
        <v>8</v>
      </c>
      <c r="E2" s="28" t="s">
        <v>10</v>
      </c>
      <c r="F2" s="28" t="s">
        <v>14</v>
      </c>
      <c r="G2" s="28" t="s">
        <v>6</v>
      </c>
    </row>
    <row r="3" spans="1:11">
      <c r="A3" s="1"/>
      <c r="B3" s="29">
        <v>40</v>
      </c>
      <c r="C3" s="29">
        <v>45</v>
      </c>
      <c r="D3" s="30">
        <v>0.35499999999999998</v>
      </c>
      <c r="E3" s="30">
        <v>0.20799999999999999</v>
      </c>
      <c r="F3" s="31">
        <v>14.5</v>
      </c>
      <c r="G3" s="31">
        <v>25.4</v>
      </c>
    </row>
    <row r="4" spans="1:11">
      <c r="A4" s="1"/>
      <c r="B4" s="44">
        <v>40</v>
      </c>
      <c r="C4" s="44">
        <v>90</v>
      </c>
      <c r="D4" s="45">
        <v>0.27500000000000002</v>
      </c>
      <c r="E4" s="45">
        <v>0.129</v>
      </c>
      <c r="F4" s="43">
        <v>9</v>
      </c>
      <c r="G4" s="43">
        <v>20</v>
      </c>
    </row>
    <row r="5" spans="1:11">
      <c r="A5" s="1"/>
      <c r="B5" s="46">
        <v>40</v>
      </c>
      <c r="C5" s="46">
        <v>120</v>
      </c>
      <c r="D5" s="47">
        <v>0.19800000000000001</v>
      </c>
      <c r="E5" s="47">
        <v>0.08</v>
      </c>
      <c r="F5" s="48">
        <v>5.2</v>
      </c>
      <c r="G5" s="48">
        <v>14.6</v>
      </c>
    </row>
    <row r="6" spans="1:11" ht="21" thickBot="1">
      <c r="A6" s="1"/>
      <c r="B6" s="1"/>
      <c r="C6" s="1"/>
      <c r="D6" s="2"/>
      <c r="E6" s="1"/>
      <c r="F6" s="1"/>
      <c r="G6" s="1"/>
      <c r="H6" s="1"/>
      <c r="I6" s="1"/>
      <c r="J6" s="1"/>
      <c r="K6" s="1"/>
    </row>
    <row r="7" spans="1:11" ht="21" thickBot="1">
      <c r="A7" s="1" t="s">
        <v>16</v>
      </c>
      <c r="B7" s="28" t="s">
        <v>0</v>
      </c>
      <c r="C7" s="28" t="s">
        <v>32</v>
      </c>
      <c r="D7" s="28" t="s">
        <v>18</v>
      </c>
      <c r="E7" s="28" t="s">
        <v>22</v>
      </c>
      <c r="F7" s="28" t="s">
        <v>20</v>
      </c>
      <c r="G7" s="28" t="s">
        <v>24</v>
      </c>
      <c r="H7" s="44"/>
      <c r="I7" s="1"/>
      <c r="J7" s="1"/>
      <c r="K7" s="1"/>
    </row>
    <row r="8" spans="1:11">
      <c r="A8" s="1"/>
      <c r="B8" s="32">
        <v>40</v>
      </c>
      <c r="C8" s="32">
        <v>45</v>
      </c>
      <c r="D8" s="31">
        <f>(SQRT(2)*B8*(1+COS(RADIANS(C8))))/(2*PI())</f>
        <v>15.369360885246875</v>
      </c>
      <c r="E8" s="38">
        <f>(F3-D8)/D8</f>
        <v>-5.6564543687784637E-2</v>
      </c>
      <c r="F8" s="31">
        <f>((PI()-RADIANS(C8)+(SIN(2*RADIANS(C8))/2))/(2*PI()))^(1/2)*B8</f>
        <v>26.968944259527778</v>
      </c>
      <c r="G8" s="38">
        <f>(G3-F8)/F8</f>
        <v>-5.8175961373552521E-2</v>
      </c>
      <c r="H8" s="44"/>
      <c r="I8" s="1"/>
      <c r="J8" s="1"/>
      <c r="K8" s="1"/>
    </row>
    <row r="9" spans="1:11">
      <c r="A9" s="1"/>
      <c r="B9" s="32">
        <v>40</v>
      </c>
      <c r="C9" s="32">
        <v>90</v>
      </c>
      <c r="D9" s="31">
        <f>(SQRT(2)*B9*(1+COS(RADIANS(C9))))/(2*PI())</f>
        <v>9.0031631615710612</v>
      </c>
      <c r="E9" s="38">
        <f>(F4-D9)/D9</f>
        <v>-3.5133891436765308E-4</v>
      </c>
      <c r="F9" s="31">
        <f t="shared" ref="F9:F10" si="0">((PI()-RADIANS(C9)+(SIN(2*RADIANS(C9))/2))/(2*PI()))^(1/2)*B9</f>
        <v>20</v>
      </c>
      <c r="G9" s="38">
        <f>(G4-F9)/F9</f>
        <v>0</v>
      </c>
      <c r="H9" s="44"/>
      <c r="I9" s="1"/>
      <c r="J9" s="1"/>
      <c r="K9" s="1"/>
    </row>
    <row r="10" spans="1:11">
      <c r="A10" s="1"/>
      <c r="B10" s="33">
        <v>40</v>
      </c>
      <c r="C10" s="33">
        <v>120</v>
      </c>
      <c r="D10" s="43">
        <f>(SQRT(2)*B10*(1+COS(RADIANS(C10))))/(2*PI())</f>
        <v>4.5015815807855333</v>
      </c>
      <c r="E10" s="39">
        <f>(F5-D10)/D10</f>
        <v>0.15514956392117452</v>
      </c>
      <c r="F10" s="43">
        <f t="shared" si="0"/>
        <v>12.506034046903451</v>
      </c>
      <c r="G10" s="39">
        <f>(G5-F10)/F10</f>
        <v>0.1674364506959761</v>
      </c>
      <c r="H10" s="44"/>
      <c r="I10" s="1"/>
      <c r="J10" s="1"/>
      <c r="K10" s="1"/>
    </row>
    <row r="11" spans="1:11">
      <c r="D11" s="37"/>
      <c r="E11" s="37"/>
      <c r="F11" s="37"/>
      <c r="G11" s="49"/>
      <c r="H11" s="37"/>
    </row>
    <row r="12" spans="1:11">
      <c r="H12" s="37"/>
    </row>
    <row r="13" spans="1:11">
      <c r="H13" s="37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E77D-1942-EA4F-BCCA-B3414234CB22}">
  <dimension ref="A1:H16"/>
  <sheetViews>
    <sheetView zoomScale="200" workbookViewId="0">
      <selection activeCell="H5" sqref="H5"/>
    </sheetView>
  </sheetViews>
  <sheetFormatPr baseColWidth="10" defaultRowHeight="20"/>
  <cols>
    <col min="1" max="1" width="14.28515625" customWidth="1"/>
    <col min="3" max="3" width="17.42578125" customWidth="1"/>
    <col min="4" max="4" width="15.85546875" customWidth="1"/>
    <col min="5" max="5" width="17.140625" customWidth="1"/>
    <col min="6" max="6" width="18.5703125" customWidth="1"/>
    <col min="7" max="7" width="18.42578125" customWidth="1"/>
  </cols>
  <sheetData>
    <row r="1" spans="1:8" ht="21" thickBot="1">
      <c r="A1" s="1"/>
      <c r="B1" s="1"/>
      <c r="C1" s="1"/>
      <c r="D1" s="1"/>
      <c r="E1" s="1"/>
      <c r="F1" s="1"/>
      <c r="G1" s="1"/>
    </row>
    <row r="2" spans="1:8" ht="21" thickBot="1">
      <c r="A2" s="1"/>
      <c r="B2" s="28" t="s">
        <v>0</v>
      </c>
      <c r="C2" s="28" t="s">
        <v>32</v>
      </c>
      <c r="D2" s="28" t="s">
        <v>8</v>
      </c>
      <c r="E2" s="28" t="s">
        <v>10</v>
      </c>
      <c r="F2" s="28" t="s">
        <v>14</v>
      </c>
      <c r="G2" s="28" t="s">
        <v>6</v>
      </c>
    </row>
    <row r="3" spans="1:8">
      <c r="A3" s="1"/>
      <c r="B3" s="29">
        <v>40</v>
      </c>
      <c r="C3" s="29">
        <v>45</v>
      </c>
      <c r="D3" s="30">
        <v>0.51</v>
      </c>
      <c r="E3" s="30">
        <v>0.42899999999999999</v>
      </c>
      <c r="F3" s="31">
        <v>30.4</v>
      </c>
      <c r="G3" s="31">
        <v>37.1</v>
      </c>
    </row>
    <row r="4" spans="1:8">
      <c r="A4" s="1"/>
      <c r="B4" s="44">
        <v>40</v>
      </c>
      <c r="C4" s="44">
        <v>90</v>
      </c>
      <c r="D4" s="45">
        <v>0.39700000000000002</v>
      </c>
      <c r="E4" s="45">
        <v>0.26200000000000001</v>
      </c>
      <c r="F4" s="43">
        <v>18.399999999999999</v>
      </c>
      <c r="G4" s="43">
        <v>29</v>
      </c>
    </row>
    <row r="5" spans="1:8">
      <c r="A5" s="1"/>
      <c r="B5" s="46">
        <v>40</v>
      </c>
      <c r="C5" s="46">
        <v>120</v>
      </c>
      <c r="D5" s="47">
        <v>0.29699999999999999</v>
      </c>
      <c r="E5" s="47">
        <v>0.16800000000000001</v>
      </c>
      <c r="F5" s="48">
        <v>11.1</v>
      </c>
      <c r="G5" s="48">
        <v>21.9</v>
      </c>
    </row>
    <row r="6" spans="1:8" ht="21" thickBot="1">
      <c r="A6" s="1"/>
      <c r="B6" s="1"/>
      <c r="C6" s="1"/>
      <c r="D6" s="2"/>
      <c r="E6" s="1"/>
      <c r="F6" s="1"/>
      <c r="G6" s="1"/>
      <c r="H6" s="1"/>
    </row>
    <row r="7" spans="1:8" ht="21" thickBot="1">
      <c r="A7" s="1" t="s">
        <v>16</v>
      </c>
      <c r="B7" s="28" t="s">
        <v>0</v>
      </c>
      <c r="C7" s="28" t="s">
        <v>32</v>
      </c>
      <c r="D7" s="28" t="s">
        <v>18</v>
      </c>
      <c r="E7" s="28" t="s">
        <v>22</v>
      </c>
      <c r="F7" s="28" t="s">
        <v>20</v>
      </c>
      <c r="G7" s="28" t="s">
        <v>24</v>
      </c>
      <c r="H7" s="44"/>
    </row>
    <row r="8" spans="1:8">
      <c r="A8" s="1"/>
      <c r="B8" s="32">
        <v>40</v>
      </c>
      <c r="C8" s="32">
        <v>45</v>
      </c>
      <c r="D8" s="31">
        <f>(SQRT(2)*B8*(1+COS(RADIANS(C8))))/(PI())</f>
        <v>30.738721770493751</v>
      </c>
      <c r="E8" s="40">
        <f>(F3-D8)/D8</f>
        <v>-1.1019383727884633E-2</v>
      </c>
      <c r="F8" s="31">
        <f>((PI()-RADIANS(C8)+(SIN(2*RADIANS(C8))/2))/PI())^(1/2)*B8</f>
        <v>38.139846734708208</v>
      </c>
      <c r="G8" s="38">
        <f>(G3-F8)/F8</f>
        <v>-2.7264051215022837E-2</v>
      </c>
      <c r="H8" s="44"/>
    </row>
    <row r="9" spans="1:8">
      <c r="A9" s="1"/>
      <c r="B9" s="32">
        <v>40</v>
      </c>
      <c r="C9" s="32">
        <v>90</v>
      </c>
      <c r="D9" s="31">
        <f t="shared" ref="D9:D10" si="0">(SQRT(2)*B9*(1+COS(RADIANS(C9))))/(PI())</f>
        <v>18.006326323142122</v>
      </c>
      <c r="E9" s="40">
        <f>(F4-D9)/D9</f>
        <v>2.1863075776424098E-2</v>
      </c>
      <c r="F9" s="31">
        <f t="shared" ref="F9:F10" si="1">((PI()-RADIANS(C9)+(SIN(2*RADIANS(C9))/2))/PI())^(1/2)*B9</f>
        <v>28.284271247461902</v>
      </c>
      <c r="G9" s="40">
        <f>(G4-F9)/F9</f>
        <v>2.5304832720493872E-2</v>
      </c>
      <c r="H9" s="44"/>
    </row>
    <row r="10" spans="1:8">
      <c r="A10" s="1"/>
      <c r="B10" s="33">
        <v>40</v>
      </c>
      <c r="C10" s="33">
        <v>120</v>
      </c>
      <c r="D10" s="43">
        <f t="shared" si="0"/>
        <v>9.0031631615710666</v>
      </c>
      <c r="E10" s="41">
        <f>(F5-D10)/D10</f>
        <v>0.2329000153389458</v>
      </c>
      <c r="F10" s="43">
        <f t="shared" si="1"/>
        <v>17.686202960630546</v>
      </c>
      <c r="G10" s="41">
        <f>(G5-F10)/F10</f>
        <v>0.23825334633721876</v>
      </c>
      <c r="H10" s="44"/>
    </row>
    <row r="11" spans="1:8">
      <c r="D11" s="37"/>
      <c r="E11" s="37"/>
      <c r="F11" s="37"/>
      <c r="G11" s="49"/>
      <c r="H11" s="37"/>
    </row>
    <row r="12" spans="1:8">
      <c r="D12" s="37"/>
      <c r="E12" s="37"/>
      <c r="F12" s="37"/>
      <c r="G12" s="37"/>
    </row>
    <row r="13" spans="1:8">
      <c r="D13" s="37"/>
      <c r="E13" s="37"/>
      <c r="F13" s="37"/>
      <c r="G13" s="37"/>
    </row>
    <row r="14" spans="1:8">
      <c r="D14" s="37"/>
      <c r="E14" s="37"/>
      <c r="F14" s="37"/>
      <c r="G14" s="37"/>
    </row>
    <row r="15" spans="1:8">
      <c r="D15" s="37"/>
      <c r="E15" s="37"/>
      <c r="F15" s="37"/>
      <c r="G15" s="37"/>
    </row>
    <row r="16" spans="1:8">
      <c r="D16" s="37"/>
      <c r="E16" s="37"/>
      <c r="F16" s="37"/>
      <c r="G16" s="37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1700-C551-1F4B-A6E8-E513CE266C57}">
  <dimension ref="B2:E15"/>
  <sheetViews>
    <sheetView tabSelected="1" zoomScale="215" workbookViewId="0">
      <selection activeCell="C14" sqref="C14"/>
    </sheetView>
  </sheetViews>
  <sheetFormatPr baseColWidth="10" defaultRowHeight="20"/>
  <cols>
    <col min="1" max="1" width="10.7109375" style="50"/>
    <col min="2" max="2" width="17.7109375" style="50" customWidth="1"/>
    <col min="3" max="3" width="47.85546875" style="50" customWidth="1"/>
    <col min="4" max="4" width="18.5703125" style="50" customWidth="1"/>
    <col min="5" max="5" width="15.5703125" style="50" customWidth="1"/>
    <col min="6" max="16384" width="10.7109375" style="50"/>
  </cols>
  <sheetData>
    <row r="2" spans="2:5">
      <c r="B2" s="50" t="s">
        <v>36</v>
      </c>
      <c r="C2" s="50" t="s">
        <v>35</v>
      </c>
      <c r="D2" s="50" t="s">
        <v>33</v>
      </c>
      <c r="E2" s="50" t="s">
        <v>34</v>
      </c>
    </row>
    <row r="3" spans="2:5">
      <c r="B3" s="50" t="s">
        <v>37</v>
      </c>
      <c r="C3" s="50" t="s">
        <v>49</v>
      </c>
      <c r="D3" s="50" t="s">
        <v>50</v>
      </c>
      <c r="E3" s="50">
        <v>508078</v>
      </c>
    </row>
    <row r="4" spans="2:5">
      <c r="B4" s="50" t="s">
        <v>38</v>
      </c>
      <c r="C4" s="50" t="s">
        <v>42</v>
      </c>
      <c r="D4" s="50" t="s">
        <v>43</v>
      </c>
      <c r="E4" s="50" t="s">
        <v>44</v>
      </c>
    </row>
    <row r="5" spans="2:5">
      <c r="B5" s="50" t="s">
        <v>39</v>
      </c>
      <c r="C5" s="50" t="s">
        <v>53</v>
      </c>
      <c r="D5" s="50" t="s">
        <v>54</v>
      </c>
      <c r="E5" s="50" t="s">
        <v>55</v>
      </c>
    </row>
    <row r="6" spans="2:5">
      <c r="B6" s="50" t="s">
        <v>57</v>
      </c>
      <c r="C6" s="50" t="s">
        <v>56</v>
      </c>
      <c r="D6" s="50" t="s">
        <v>62</v>
      </c>
      <c r="E6" s="50" t="s">
        <v>63</v>
      </c>
    </row>
    <row r="7" spans="2:5">
      <c r="B7" s="50" t="s">
        <v>58</v>
      </c>
      <c r="C7" s="50" t="s">
        <v>56</v>
      </c>
      <c r="D7" s="50" t="s">
        <v>62</v>
      </c>
      <c r="E7" s="50" t="s">
        <v>64</v>
      </c>
    </row>
    <row r="8" spans="2:5">
      <c r="B8" s="50" t="s">
        <v>61</v>
      </c>
      <c r="C8" s="50" t="s">
        <v>56</v>
      </c>
      <c r="D8" s="50" t="s">
        <v>65</v>
      </c>
      <c r="E8" s="50" t="s">
        <v>70</v>
      </c>
    </row>
    <row r="9" spans="2:5">
      <c r="B9" s="50" t="s">
        <v>59</v>
      </c>
      <c r="C9" s="50" t="s">
        <v>66</v>
      </c>
      <c r="D9" s="50" t="s">
        <v>67</v>
      </c>
      <c r="E9" s="50" t="s">
        <v>68</v>
      </c>
    </row>
    <row r="10" spans="2:5">
      <c r="B10" s="50" t="s">
        <v>60</v>
      </c>
      <c r="C10" s="50" t="s">
        <v>66</v>
      </c>
      <c r="D10" s="50" t="s">
        <v>69</v>
      </c>
      <c r="E10" s="50" t="s">
        <v>71</v>
      </c>
    </row>
    <row r="11" spans="2:5">
      <c r="B11" s="50" t="s">
        <v>40</v>
      </c>
      <c r="C11" s="50" t="s">
        <v>72</v>
      </c>
      <c r="D11" s="50" t="s">
        <v>73</v>
      </c>
      <c r="E11" s="50" t="s">
        <v>74</v>
      </c>
    </row>
    <row r="12" spans="2:5">
      <c r="B12" s="50" t="s">
        <v>51</v>
      </c>
      <c r="C12" s="50" t="s">
        <v>75</v>
      </c>
      <c r="D12" s="50" t="s">
        <v>76</v>
      </c>
      <c r="E12" s="50" t="s">
        <v>77</v>
      </c>
    </row>
    <row r="13" spans="2:5">
      <c r="B13" s="50" t="s">
        <v>52</v>
      </c>
      <c r="C13" s="50" t="s">
        <v>72</v>
      </c>
      <c r="D13" s="50" t="s">
        <v>78</v>
      </c>
      <c r="E13" s="50" t="s">
        <v>79</v>
      </c>
    </row>
    <row r="14" spans="2:5">
      <c r="B14" s="50" t="s">
        <v>41</v>
      </c>
      <c r="C14" s="50" t="s">
        <v>45</v>
      </c>
      <c r="D14" s="50" t="s">
        <v>47</v>
      </c>
    </row>
    <row r="15" spans="2:5">
      <c r="C15" s="50" t="s">
        <v>48</v>
      </c>
      <c r="D15" s="50" t="s">
        <v>46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3-1 単相半波整流回路</vt:lpstr>
      <vt:lpstr>3-2 単相ブリッジ整流回路</vt:lpstr>
      <vt:lpstr>3-3 三相半波整流回路</vt:lpstr>
      <vt:lpstr>3-4 三相全波整流回路</vt:lpstr>
      <vt:lpstr>3-5 サイリスタ半波整流回路</vt:lpstr>
      <vt:lpstr>3-6 混合ブリッジ整流回路</vt:lpstr>
      <vt:lpstr>使用器具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SatoTakumi</dc:creator>
  <cp:lastModifiedBy>SatoTakumi</cp:lastModifiedBy>
  <dcterms:created xsi:type="dcterms:W3CDTF">2026-05-01T04:57:31Z</dcterms:created>
  <dcterms:modified xsi:type="dcterms:W3CDTF">2026-05-08T07:45:49Z</dcterms:modified>
</cp:coreProperties>
</file>