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i/Downloads/"/>
    </mc:Choice>
  </mc:AlternateContent>
  <xr:revisionPtr revIDLastSave="0" documentId="13_ncr:1_{92C00774-9972-FE43-9727-4C7031CB33C7}" xr6:coauthVersionLast="47" xr6:coauthVersionMax="47" xr10:uidLastSave="{00000000-0000-0000-0000-000000000000}"/>
  <bookViews>
    <workbookView xWindow="0" yWindow="780" windowWidth="36000" windowHeight="22600" activeTab="1" xr2:uid="{28490673-F9DC-874C-A9EA-96E0DF2DC8F8}"/>
  </bookViews>
  <sheets>
    <sheet name="同期発電機の実負荷試験" sheetId="1" r:id="rId1"/>
    <sheet name="同期発電機の無負荷試験" sheetId="2" r:id="rId2"/>
    <sheet name="Sheet2" sheetId="3" r:id="rId3"/>
  </sheets>
  <definedNames>
    <definedName name="_xlchart.v1.0" hidden="1">同期発電機の無負荷試験!$N$4:$N$44</definedName>
    <definedName name="_xlchart.v1.1" hidden="1">同期発電機の無負荷試験!$O$3</definedName>
    <definedName name="_xlchart.v1.10" hidden="1">同期発電機の無負荷試験!$P$3</definedName>
    <definedName name="_xlchart.v1.11" hidden="1">同期発電機の無負荷試験!$P$4:$P$44</definedName>
    <definedName name="_xlchart.v1.12" hidden="1">同期発電機の無負荷試験!$Q$3</definedName>
    <definedName name="_xlchart.v1.13" hidden="1">同期発電機の無負荷試験!$Q$4:$Q$44</definedName>
    <definedName name="_xlchart.v1.14" hidden="1">同期発電機の無負荷試験!$N$4:$N$44</definedName>
    <definedName name="_xlchart.v1.15" hidden="1">同期発電機の無負荷試験!$O$3</definedName>
    <definedName name="_xlchart.v1.16" hidden="1">同期発電機の無負荷試験!$O$4:$O$44</definedName>
    <definedName name="_xlchart.v1.17" hidden="1">同期発電機の無負荷試験!$P$3</definedName>
    <definedName name="_xlchart.v1.18" hidden="1">同期発電機の無負荷試験!$P$4:$P$44</definedName>
    <definedName name="_xlchart.v1.19" hidden="1">同期発電機の無負荷試験!$Q$3</definedName>
    <definedName name="_xlchart.v1.2" hidden="1">同期発電機の無負荷試験!$O$4:$O$44</definedName>
    <definedName name="_xlchart.v1.20" hidden="1">同期発電機の無負荷試験!$Q$4:$Q$44</definedName>
    <definedName name="_xlchart.v1.3" hidden="1">同期発電機の無負荷試験!$P$3</definedName>
    <definedName name="_xlchart.v1.4" hidden="1">同期発電機の無負荷試験!$P$4:$P$44</definedName>
    <definedName name="_xlchart.v1.5" hidden="1">同期発電機の無負荷試験!$Q$3</definedName>
    <definedName name="_xlchart.v1.6" hidden="1">同期発電機の無負荷試験!$Q$4:$Q$44</definedName>
    <definedName name="_xlchart.v1.7" hidden="1">同期発電機の無負荷試験!$N$4:$N$44</definedName>
    <definedName name="_xlchart.v1.8" hidden="1">同期発電機の無負荷試験!$O$3</definedName>
    <definedName name="_xlchart.v1.9" hidden="1">同期発電機の無負荷試験!$O$4:$O$44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9" i="2" l="1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I23" i="1"/>
</calcChain>
</file>

<file path=xl/sharedStrings.xml><?xml version="1.0" encoding="utf-8"?>
<sst xmlns="http://schemas.openxmlformats.org/spreadsheetml/2006/main" count="28" uniqueCount="25">
  <si>
    <t>V_L</t>
    <phoneticPr fontId="1"/>
  </si>
  <si>
    <t>発電機周波数 F [Hz]</t>
    <rPh sb="0" eb="6">
      <t>ハツデｎン</t>
    </rPh>
    <phoneticPr fontId="1"/>
  </si>
  <si>
    <t>A_F [A]</t>
    <phoneticPr fontId="1"/>
  </si>
  <si>
    <t>A_L [A]</t>
    <phoneticPr fontId="1"/>
  </si>
  <si>
    <t>A_a [A]</t>
    <phoneticPr fontId="1"/>
  </si>
  <si>
    <t>A_f [A]</t>
    <phoneticPr fontId="1"/>
  </si>
  <si>
    <t>電源電流 A [A]</t>
    <rPh sb="0" eb="4">
      <t>デンゲｎン</t>
    </rPh>
    <phoneticPr fontId="1"/>
  </si>
  <si>
    <t>直流電源電圧 V [V]</t>
    <rPh sb="0" eb="6">
      <t>チョクリュウデング</t>
    </rPh>
    <phoneticPr fontId="1"/>
  </si>
  <si>
    <t>周波数 [rpm]</t>
    <rPh sb="0" eb="3">
      <t>シュウハスウ</t>
    </rPh>
    <phoneticPr fontId="1"/>
  </si>
  <si>
    <t>級数or1/10目盛</t>
    <rPh sb="0" eb="2">
      <t>キュウ</t>
    </rPh>
    <rPh sb="8" eb="10">
      <t xml:space="preserve">メモリ </t>
    </rPh>
    <phoneticPr fontId="1"/>
  </si>
  <si>
    <t>電圧変動率</t>
    <rPh sb="0" eb="5">
      <t>デンアｔウ</t>
    </rPh>
    <phoneticPr fontId="1"/>
  </si>
  <si>
    <t>界磁電流 I_F [A]</t>
    <rPh sb="0" eb="4">
      <t>ジカイ</t>
    </rPh>
    <phoneticPr fontId="1"/>
  </si>
  <si>
    <t>端子間電圧 V_0L [V]</t>
    <rPh sb="0" eb="5">
      <t>タンシカｎン</t>
    </rPh>
    <phoneticPr fontId="1"/>
  </si>
  <si>
    <t>周波数 [Hz]</t>
    <rPh sb="0" eb="3">
      <t>シュウｈア</t>
    </rPh>
    <phoneticPr fontId="1"/>
  </si>
  <si>
    <t>回転数 [rpm]</t>
    <rPh sb="0" eb="3">
      <t>カイテンスウ</t>
    </rPh>
    <phoneticPr fontId="1"/>
  </si>
  <si>
    <t>同期発電機の無負荷試験</t>
    <phoneticPr fontId="1"/>
  </si>
  <si>
    <t>短絡試験</t>
    <rPh sb="0" eb="4">
      <t>タンラｋウ</t>
    </rPh>
    <phoneticPr fontId="1"/>
  </si>
  <si>
    <t>短絡電流 A_L 2 [A]</t>
    <rPh sb="0" eb="2">
      <t>タンラｋウ</t>
    </rPh>
    <rPh sb="2" eb="4">
      <t>タンシカｎン</t>
    </rPh>
    <phoneticPr fontId="1"/>
  </si>
  <si>
    <t>短絡電流 A_L 3 [A]</t>
    <rPh sb="0" eb="2">
      <t>タンラｋウ</t>
    </rPh>
    <rPh sb="2" eb="4">
      <t>タンシカｎン</t>
    </rPh>
    <phoneticPr fontId="1"/>
  </si>
  <si>
    <t>短絡電流 A_L 1 [A]</t>
    <rPh sb="0" eb="2">
      <t>タンラｋウ</t>
    </rPh>
    <rPh sb="2" eb="4">
      <t>タンシカｎン</t>
    </rPh>
    <phoneticPr fontId="1"/>
  </si>
  <si>
    <t>平均短絡電流 A_s [A]</t>
    <rPh sb="0" eb="2">
      <t>ヘイキｎン</t>
    </rPh>
    <rPh sb="2" eb="6">
      <t>タンラクデンｒｙウ</t>
    </rPh>
    <phoneticPr fontId="1"/>
  </si>
  <si>
    <t>同期インピーダンス</t>
    <rPh sb="0" eb="2">
      <t>ドウｋイ</t>
    </rPh>
    <phoneticPr fontId="1"/>
  </si>
  <si>
    <t>界磁電流</t>
    <rPh sb="0" eb="4">
      <t>カイジｄエ</t>
    </rPh>
    <phoneticPr fontId="1"/>
  </si>
  <si>
    <t>端子間電圧</t>
    <rPh sb="0" eb="5">
      <t>タンシカンｄエ</t>
    </rPh>
    <phoneticPr fontId="1"/>
  </si>
  <si>
    <t>短絡電圧</t>
    <rPh sb="0" eb="4">
      <t>タンラクデ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</si>
</sst>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_);[Red]\(0.0\)"/>
    <numFmt numFmtId="178" formatCode="0.00_);[Red]\(0.00\)"/>
    <numFmt numFmtId="179" formatCode="0.000_);[Red]\(0.000\)"/>
    <numFmt numFmtId="180" formatCode="0.000"/>
    <numFmt numFmtId="184" formatCode="0.0"/>
  </numFmts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76" fontId="0" fillId="0" borderId="1" xfId="0" applyNumberFormat="1" applyBorder="1">
      <alignment vertical="center"/>
    </xf>
    <xf numFmtId="178" fontId="0" fillId="0" borderId="1" xfId="0" applyNumberFormat="1" applyBorder="1">
      <alignment vertical="center"/>
    </xf>
    <xf numFmtId="179" fontId="0" fillId="0" borderId="1" xfId="0" applyNumberFormat="1" applyBorder="1">
      <alignment vertical="center"/>
    </xf>
    <xf numFmtId="177" fontId="0" fillId="0" borderId="1" xfId="0" applyNumberFormat="1" applyBorder="1">
      <alignment vertical="center"/>
    </xf>
    <xf numFmtId="180" fontId="0" fillId="0" borderId="0" xfId="0" applyNumberFormat="1">
      <alignment vertical="center"/>
    </xf>
    <xf numFmtId="0" fontId="0" fillId="0" borderId="1" xfId="0" applyBorder="1">
      <alignment vertical="center"/>
    </xf>
    <xf numFmtId="184" fontId="0" fillId="0" borderId="0" xfId="0" applyNumberFormat="1">
      <alignment vertical="center"/>
    </xf>
    <xf numFmtId="2" fontId="0" fillId="0" borderId="0" xfId="0" applyNumberFormat="1">
      <alignment vertical="center"/>
    </xf>
    <xf numFmtId="180" fontId="0" fillId="0" borderId="1" xfId="0" applyNumberFormat="1" applyBorder="1">
      <alignment vertical="center"/>
    </xf>
    <xf numFmtId="184" fontId="0" fillId="0" borderId="1" xfId="0" applyNumberFormat="1" applyBorder="1">
      <alignment vertical="center"/>
    </xf>
    <xf numFmtId="0" fontId="0" fillId="0" borderId="0" xfId="0" applyBorder="1">
      <alignment vertical="center"/>
    </xf>
    <xf numFmtId="180" fontId="0" fillId="0" borderId="0" xfId="0" applyNumberFormat="1" applyBorder="1">
      <alignment vertical="center"/>
    </xf>
    <xf numFmtId="184" fontId="0" fillId="0" borderId="0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同期発電機の実負荷試験!$H$2</c:f>
              <c:strCache>
                <c:ptCount val="1"/>
                <c:pt idx="0">
                  <c:v>A_L [A]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同期発電機の実負荷試験!$H$3:$H$21</c:f>
              <c:numCache>
                <c:formatCode>0.00_);[Red]\(0.00\)</c:formatCode>
                <c:ptCount val="19"/>
                <c:pt idx="0">
                  <c:v>5.75</c:v>
                </c:pt>
                <c:pt idx="1">
                  <c:v>5.5</c:v>
                </c:pt>
                <c:pt idx="2">
                  <c:v>5</c:v>
                </c:pt>
                <c:pt idx="3">
                  <c:v>4.5</c:v>
                </c:pt>
                <c:pt idx="4">
                  <c:v>4</c:v>
                </c:pt>
                <c:pt idx="5">
                  <c:v>3.5</c:v>
                </c:pt>
                <c:pt idx="6">
                  <c:v>3</c:v>
                </c:pt>
                <c:pt idx="7">
                  <c:v>2.5</c:v>
                </c:pt>
                <c:pt idx="8">
                  <c:v>2</c:v>
                </c:pt>
                <c:pt idx="9">
                  <c:v>1.5</c:v>
                </c:pt>
                <c:pt idx="10">
                  <c:v>1</c:v>
                </c:pt>
                <c:pt idx="11">
                  <c:v>0</c:v>
                </c:pt>
              </c:numCache>
            </c:numRef>
          </c:xVal>
          <c:yVal>
            <c:numRef>
              <c:f>同期発電機の実負荷試験!$G$3:$G$21</c:f>
              <c:numCache>
                <c:formatCode>0.0_);[Red]\(0.0\)</c:formatCode>
                <c:ptCount val="19"/>
                <c:pt idx="0">
                  <c:v>197.5</c:v>
                </c:pt>
                <c:pt idx="1">
                  <c:v>198</c:v>
                </c:pt>
                <c:pt idx="2">
                  <c:v>201</c:v>
                </c:pt>
                <c:pt idx="3">
                  <c:v>202</c:v>
                </c:pt>
                <c:pt idx="4">
                  <c:v>202.5</c:v>
                </c:pt>
                <c:pt idx="5">
                  <c:v>204</c:v>
                </c:pt>
                <c:pt idx="6">
                  <c:v>205.5</c:v>
                </c:pt>
                <c:pt idx="7">
                  <c:v>206</c:v>
                </c:pt>
                <c:pt idx="8">
                  <c:v>207.5</c:v>
                </c:pt>
                <c:pt idx="9">
                  <c:v>208</c:v>
                </c:pt>
                <c:pt idx="10">
                  <c:v>209.5</c:v>
                </c:pt>
                <c:pt idx="11">
                  <c:v>210.5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1-B44D-AC5E-B5C48D5BB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93465023"/>
        <c:axId val="1393467711"/>
      </c:scatterChart>
      <c:valAx>
        <c:axId val="1393465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3467711"/>
        <c:crosses val="autoZero"/>
        <c:crossBetween val="midCat"/>
      </c:valAx>
      <c:valAx>
        <c:axId val="139346771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);[Red]\(0.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93465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無負荷 行き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backward val="0.60000000000000009"/>
            <c:dispRSqr val="0"/>
            <c:dispEq val="1"/>
            <c:trendlineLbl>
              <c:layout>
                <c:manualLayout>
                  <c:x val="-0.12503389864821424"/>
                  <c:y val="0.197128310654474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同期発電機の無負荷試験!$D$4:$D$25</c:f>
              <c:numCache>
                <c:formatCode>0.000</c:formatCode>
                <c:ptCount val="22"/>
                <c:pt idx="0">
                  <c:v>0.64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1.1000000000000001</c:v>
                </c:pt>
                <c:pt idx="6">
                  <c:v>1.1850000000000001</c:v>
                </c:pt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10">
                  <c:v>1.6</c:v>
                </c:pt>
                <c:pt idx="11">
                  <c:v>1.7</c:v>
                </c:pt>
                <c:pt idx="12">
                  <c:v>1.8</c:v>
                </c:pt>
                <c:pt idx="13">
                  <c:v>1.875</c:v>
                </c:pt>
                <c:pt idx="14">
                  <c:v>2</c:v>
                </c:pt>
                <c:pt idx="15">
                  <c:v>2.1</c:v>
                </c:pt>
                <c:pt idx="16">
                  <c:v>2.2149999999999999</c:v>
                </c:pt>
                <c:pt idx="17">
                  <c:v>2.4</c:v>
                </c:pt>
                <c:pt idx="18">
                  <c:v>2.5150000000000001</c:v>
                </c:pt>
                <c:pt idx="19">
                  <c:v>2.5950000000000002</c:v>
                </c:pt>
                <c:pt idx="20">
                  <c:v>2.7</c:v>
                </c:pt>
                <c:pt idx="21">
                  <c:v>2.86</c:v>
                </c:pt>
              </c:numCache>
            </c:numRef>
          </c:xVal>
          <c:yVal>
            <c:numRef>
              <c:f>同期発電機の無負荷試験!$E$4:$E$25</c:f>
              <c:numCache>
                <c:formatCode>0.0</c:formatCode>
                <c:ptCount val="22"/>
                <c:pt idx="0">
                  <c:v>111.5</c:v>
                </c:pt>
                <c:pt idx="1">
                  <c:v>116.5</c:v>
                </c:pt>
                <c:pt idx="2">
                  <c:v>132</c:v>
                </c:pt>
                <c:pt idx="3">
                  <c:v>142.5</c:v>
                </c:pt>
                <c:pt idx="4">
                  <c:v>156</c:v>
                </c:pt>
                <c:pt idx="5">
                  <c:v>166.5</c:v>
                </c:pt>
                <c:pt idx="6">
                  <c:v>176.5</c:v>
                </c:pt>
                <c:pt idx="7">
                  <c:v>186</c:v>
                </c:pt>
                <c:pt idx="8">
                  <c:v>193.5</c:v>
                </c:pt>
                <c:pt idx="9">
                  <c:v>200.5</c:v>
                </c:pt>
                <c:pt idx="10">
                  <c:v>206.5</c:v>
                </c:pt>
                <c:pt idx="11">
                  <c:v>211.5</c:v>
                </c:pt>
                <c:pt idx="12">
                  <c:v>216</c:v>
                </c:pt>
                <c:pt idx="13">
                  <c:v>220.5</c:v>
                </c:pt>
                <c:pt idx="14">
                  <c:v>225</c:v>
                </c:pt>
                <c:pt idx="15">
                  <c:v>229</c:v>
                </c:pt>
                <c:pt idx="16">
                  <c:v>232.5</c:v>
                </c:pt>
                <c:pt idx="17">
                  <c:v>238</c:v>
                </c:pt>
                <c:pt idx="18">
                  <c:v>241.5</c:v>
                </c:pt>
                <c:pt idx="19">
                  <c:v>244</c:v>
                </c:pt>
                <c:pt idx="20">
                  <c:v>247</c:v>
                </c:pt>
                <c:pt idx="21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85-0341-A8D7-AA7500E9C653}"/>
            </c:ext>
          </c:extLst>
        </c:ser>
        <c:ser>
          <c:idx val="1"/>
          <c:order val="1"/>
          <c:tx>
            <c:v>無負荷 帰り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4"/>
            <c:backward val="0.5"/>
            <c:dispRSqr val="0"/>
            <c:dispEq val="1"/>
            <c:trendlineLbl>
              <c:layout>
                <c:manualLayout>
                  <c:x val="-0.33191080272042783"/>
                  <c:y val="0.100861668939334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同期発電機の無負荷試験!$D$26:$D$50</c:f>
              <c:numCache>
                <c:formatCode>0.000</c:formatCode>
                <c:ptCount val="25"/>
                <c:pt idx="0">
                  <c:v>2.8</c:v>
                </c:pt>
                <c:pt idx="1">
                  <c:v>2.68</c:v>
                </c:pt>
                <c:pt idx="2">
                  <c:v>2.58</c:v>
                </c:pt>
                <c:pt idx="3">
                  <c:v>2.5</c:v>
                </c:pt>
                <c:pt idx="4">
                  <c:v>2.38</c:v>
                </c:pt>
                <c:pt idx="5">
                  <c:v>2.2999999999999998</c:v>
                </c:pt>
                <c:pt idx="6">
                  <c:v>2.2000000000000002</c:v>
                </c:pt>
                <c:pt idx="7">
                  <c:v>2.09</c:v>
                </c:pt>
                <c:pt idx="8">
                  <c:v>2</c:v>
                </c:pt>
                <c:pt idx="9">
                  <c:v>1.91</c:v>
                </c:pt>
                <c:pt idx="10">
                  <c:v>1.8</c:v>
                </c:pt>
                <c:pt idx="11">
                  <c:v>1.7150000000000001</c:v>
                </c:pt>
                <c:pt idx="12">
                  <c:v>1.6</c:v>
                </c:pt>
                <c:pt idx="13">
                  <c:v>1.5</c:v>
                </c:pt>
                <c:pt idx="14">
                  <c:v>1.4</c:v>
                </c:pt>
                <c:pt idx="15">
                  <c:v>1.29</c:v>
                </c:pt>
                <c:pt idx="16">
                  <c:v>1.19</c:v>
                </c:pt>
                <c:pt idx="17">
                  <c:v>1.1000000000000001</c:v>
                </c:pt>
                <c:pt idx="18">
                  <c:v>1</c:v>
                </c:pt>
                <c:pt idx="19">
                  <c:v>0.9</c:v>
                </c:pt>
                <c:pt idx="20">
                  <c:v>0.8</c:v>
                </c:pt>
                <c:pt idx="21">
                  <c:v>0.7</c:v>
                </c:pt>
                <c:pt idx="22">
                  <c:v>0.63</c:v>
                </c:pt>
              </c:numCache>
            </c:numRef>
          </c:xVal>
          <c:yVal>
            <c:numRef>
              <c:f>同期発電機の無負荷試験!$E$26:$E$50</c:f>
              <c:numCache>
                <c:formatCode>0.0</c:formatCode>
                <c:ptCount val="25"/>
                <c:pt idx="0">
                  <c:v>249</c:v>
                </c:pt>
                <c:pt idx="1">
                  <c:v>246</c:v>
                </c:pt>
                <c:pt idx="2">
                  <c:v>244.5</c:v>
                </c:pt>
                <c:pt idx="3">
                  <c:v>243</c:v>
                </c:pt>
                <c:pt idx="4">
                  <c:v>240</c:v>
                </c:pt>
                <c:pt idx="5">
                  <c:v>236.5</c:v>
                </c:pt>
                <c:pt idx="6">
                  <c:v>235</c:v>
                </c:pt>
                <c:pt idx="7">
                  <c:v>229.5</c:v>
                </c:pt>
                <c:pt idx="8">
                  <c:v>227.5</c:v>
                </c:pt>
                <c:pt idx="9">
                  <c:v>223.5</c:v>
                </c:pt>
                <c:pt idx="10">
                  <c:v>219</c:v>
                </c:pt>
                <c:pt idx="11">
                  <c:v>216</c:v>
                </c:pt>
                <c:pt idx="12">
                  <c:v>210</c:v>
                </c:pt>
                <c:pt idx="13">
                  <c:v>205.5</c:v>
                </c:pt>
                <c:pt idx="14">
                  <c:v>198.5</c:v>
                </c:pt>
                <c:pt idx="15">
                  <c:v>192</c:v>
                </c:pt>
                <c:pt idx="16">
                  <c:v>183</c:v>
                </c:pt>
                <c:pt idx="17">
                  <c:v>175.5</c:v>
                </c:pt>
                <c:pt idx="18">
                  <c:v>164</c:v>
                </c:pt>
                <c:pt idx="19">
                  <c:v>151.5</c:v>
                </c:pt>
                <c:pt idx="20">
                  <c:v>137</c:v>
                </c:pt>
                <c:pt idx="21">
                  <c:v>122.5</c:v>
                </c:pt>
                <c:pt idx="22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85-0341-A8D7-AA7500E9C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572543"/>
        <c:axId val="789564927"/>
      </c:scatterChart>
      <c:scatterChart>
        <c:scatterStyle val="lineMarker"/>
        <c:varyColors val="0"/>
        <c:ser>
          <c:idx val="2"/>
          <c:order val="2"/>
          <c:tx>
            <c:v>短絡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2.2999999999999998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同期発電機の無負荷試験!$H$4:$H$48</c:f>
              <c:numCache>
                <c:formatCode>0.000</c:formatCode>
                <c:ptCount val="45"/>
                <c:pt idx="0">
                  <c:v>0.75</c:v>
                </c:pt>
                <c:pt idx="1">
                  <c:v>0.78500000000000003</c:v>
                </c:pt>
                <c:pt idx="2">
                  <c:v>0.69</c:v>
                </c:pt>
                <c:pt idx="3">
                  <c:v>0.61499999999999999</c:v>
                </c:pt>
                <c:pt idx="4">
                  <c:v>0.56999999999999995</c:v>
                </c:pt>
                <c:pt idx="5">
                  <c:v>0.51</c:v>
                </c:pt>
                <c:pt idx="6">
                  <c:v>0.45</c:v>
                </c:pt>
                <c:pt idx="7">
                  <c:v>0.39</c:v>
                </c:pt>
                <c:pt idx="8">
                  <c:v>0.33</c:v>
                </c:pt>
                <c:pt idx="9">
                  <c:v>0.28499999999999998</c:v>
                </c:pt>
                <c:pt idx="10">
                  <c:v>0.21</c:v>
                </c:pt>
                <c:pt idx="11">
                  <c:v>0.16500000000000001</c:v>
                </c:pt>
                <c:pt idx="12">
                  <c:v>0.15</c:v>
                </c:pt>
              </c:numCache>
            </c:numRef>
          </c:xVal>
          <c:yVal>
            <c:numRef>
              <c:f>同期発電機の無負荷試験!$L$4:$L$48</c:f>
              <c:numCache>
                <c:formatCode>0.00</c:formatCode>
                <c:ptCount val="45"/>
                <c:pt idx="0">
                  <c:v>6.9333333333333336</c:v>
                </c:pt>
                <c:pt idx="1">
                  <c:v>7.1333333333333329</c:v>
                </c:pt>
                <c:pt idx="2">
                  <c:v>6.45</c:v>
                </c:pt>
                <c:pt idx="3">
                  <c:v>5.95</c:v>
                </c:pt>
                <c:pt idx="4">
                  <c:v>5.4833333333333334</c:v>
                </c:pt>
                <c:pt idx="5">
                  <c:v>4.95</c:v>
                </c:pt>
                <c:pt idx="6">
                  <c:v>4.4333333333333336</c:v>
                </c:pt>
                <c:pt idx="7">
                  <c:v>3.9333333333333336</c:v>
                </c:pt>
                <c:pt idx="8">
                  <c:v>3.4500000000000006</c:v>
                </c:pt>
                <c:pt idx="9">
                  <c:v>2.9833333333333329</c:v>
                </c:pt>
                <c:pt idx="10">
                  <c:v>2.4666666666666668</c:v>
                </c:pt>
                <c:pt idx="11">
                  <c:v>1.9666666666666668</c:v>
                </c:pt>
                <c:pt idx="12">
                  <c:v>1.8166666666666667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F85-0341-A8D7-AA7500E9C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0370879"/>
        <c:axId val="794327487"/>
      </c:scatterChart>
      <c:valAx>
        <c:axId val="78957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ja-JP" sz="1100" b="0" i="0" u="none" strike="noStrike">
                    <a:effectLst/>
                  </a:rPr>
                  <a:t>界磁電流 I_F [A]</a:t>
                </a:r>
                <a:r>
                  <a:rPr lang="ja-JP" altLang="ja-JP" sz="1100">
                    <a:effectLst/>
                  </a:rPr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9564927"/>
        <c:crosses val="autoZero"/>
        <c:crossBetween val="midCat"/>
      </c:valAx>
      <c:valAx>
        <c:axId val="789564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端子間電圧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9572543"/>
        <c:crosses val="autoZero"/>
        <c:crossBetween val="midCat"/>
      </c:valAx>
      <c:valAx>
        <c:axId val="794327487"/>
        <c:scaling>
          <c:orientation val="minMax"/>
          <c:max val="35"/>
        </c:scaling>
        <c:delete val="0"/>
        <c:axPos val="r"/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0370879"/>
        <c:crosses val="max"/>
        <c:crossBetween val="midCat"/>
      </c:valAx>
      <c:valAx>
        <c:axId val="730370879"/>
        <c:scaling>
          <c:orientation val="minMax"/>
        </c:scaling>
        <c:delete val="1"/>
        <c:axPos val="b"/>
        <c:numFmt formatCode="0.000" sourceLinked="1"/>
        <c:majorTickMark val="out"/>
        <c:minorTickMark val="none"/>
        <c:tickLblPos val="nextTo"/>
        <c:crossAx val="794327487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同期発電機の無負荷試験!$L$3</c:f>
              <c:strCache>
                <c:ptCount val="1"/>
                <c:pt idx="0">
                  <c:v>平均短絡電流 A_s [A]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同期発電機の無負荷試験!$H$4:$H$48</c:f>
              <c:numCache>
                <c:formatCode>0.000</c:formatCode>
                <c:ptCount val="45"/>
                <c:pt idx="0">
                  <c:v>0.75</c:v>
                </c:pt>
                <c:pt idx="1">
                  <c:v>0.78500000000000003</c:v>
                </c:pt>
                <c:pt idx="2">
                  <c:v>0.69</c:v>
                </c:pt>
                <c:pt idx="3">
                  <c:v>0.61499999999999999</c:v>
                </c:pt>
                <c:pt idx="4">
                  <c:v>0.56999999999999995</c:v>
                </c:pt>
                <c:pt idx="5">
                  <c:v>0.51</c:v>
                </c:pt>
                <c:pt idx="6">
                  <c:v>0.45</c:v>
                </c:pt>
                <c:pt idx="7">
                  <c:v>0.39</c:v>
                </c:pt>
                <c:pt idx="8">
                  <c:v>0.33</c:v>
                </c:pt>
                <c:pt idx="9">
                  <c:v>0.28499999999999998</c:v>
                </c:pt>
                <c:pt idx="10">
                  <c:v>0.21</c:v>
                </c:pt>
                <c:pt idx="11">
                  <c:v>0.16500000000000001</c:v>
                </c:pt>
                <c:pt idx="12">
                  <c:v>0.15</c:v>
                </c:pt>
              </c:numCache>
            </c:numRef>
          </c:xVal>
          <c:yVal>
            <c:numRef>
              <c:f>同期発電機の無負荷試験!$L$4:$L$48</c:f>
              <c:numCache>
                <c:formatCode>0.00</c:formatCode>
                <c:ptCount val="45"/>
                <c:pt idx="0">
                  <c:v>6.9333333333333336</c:v>
                </c:pt>
                <c:pt idx="1">
                  <c:v>7.1333333333333329</c:v>
                </c:pt>
                <c:pt idx="2">
                  <c:v>6.45</c:v>
                </c:pt>
                <c:pt idx="3">
                  <c:v>5.95</c:v>
                </c:pt>
                <c:pt idx="4">
                  <c:v>5.4833333333333334</c:v>
                </c:pt>
                <c:pt idx="5">
                  <c:v>4.95</c:v>
                </c:pt>
                <c:pt idx="6">
                  <c:v>4.4333333333333336</c:v>
                </c:pt>
                <c:pt idx="7">
                  <c:v>3.9333333333333336</c:v>
                </c:pt>
                <c:pt idx="8">
                  <c:v>3.4500000000000006</c:v>
                </c:pt>
                <c:pt idx="9">
                  <c:v>2.9833333333333329</c:v>
                </c:pt>
                <c:pt idx="10">
                  <c:v>2.4666666666666668</c:v>
                </c:pt>
                <c:pt idx="11">
                  <c:v>1.9666666666666668</c:v>
                </c:pt>
                <c:pt idx="12">
                  <c:v>1.8166666666666667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A2-1F46-809C-586835378E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356479"/>
        <c:axId val="786196991"/>
      </c:scatterChart>
      <c:valAx>
        <c:axId val="785356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6196991"/>
        <c:crosses val="autoZero"/>
        <c:crossBetween val="midCat"/>
      </c:valAx>
      <c:valAx>
        <c:axId val="78619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3564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同期発電機の無負荷試験!$O$3</c:f>
              <c:strCache>
                <c:ptCount val="1"/>
                <c:pt idx="0">
                  <c:v>端子間電圧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同期発電機の無負荷試験!$N$4:$N$44</c:f>
              <c:numCache>
                <c:formatCode>0.00</c:formatCode>
                <c:ptCount val="41"/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同期発電機の無負荷試験!$O$4:$O$44</c:f>
              <c:numCache>
                <c:formatCode>General</c:formatCode>
                <c:ptCount val="41"/>
                <c:pt idx="5">
                  <c:v>87.194412499999999</c:v>
                </c:pt>
                <c:pt idx="6">
                  <c:v>104.91525224</c:v>
                </c:pt>
                <c:pt idx="7">
                  <c:v>120.94167563999997</c:v>
                </c:pt>
                <c:pt idx="8">
                  <c:v>135.40112384</c:v>
                </c:pt>
                <c:pt idx="9">
                  <c:v>148.41621613999999</c:v>
                </c:pt>
                <c:pt idx="10">
                  <c:v>160.10475</c:v>
                </c:pt>
                <c:pt idx="11">
                  <c:v>170.57970104</c:v>
                </c:pt>
                <c:pt idx="12">
                  <c:v>179.94922303999996</c:v>
                </c:pt>
                <c:pt idx="13">
                  <c:v>188.31664794000002</c:v>
                </c:pt>
                <c:pt idx="14">
                  <c:v>195.78048583999995</c:v>
                </c:pt>
                <c:pt idx="15">
                  <c:v>202.434425</c:v>
                </c:pt>
                <c:pt idx="16">
                  <c:v>208.36733183999999</c:v>
                </c:pt>
                <c:pt idx="17">
                  <c:v>213.66325094000004</c:v>
                </c:pt>
                <c:pt idx="18">
                  <c:v>218.40140504000001</c:v>
                </c:pt>
                <c:pt idx="19">
                  <c:v>222.65619503999997</c:v>
                </c:pt>
                <c:pt idx="20">
                  <c:v>226.49719999999999</c:v>
                </c:pt>
                <c:pt idx="21">
                  <c:v>229.98917714000007</c:v>
                </c:pt>
                <c:pt idx="22">
                  <c:v>233.19206184000004</c:v>
                </c:pt>
                <c:pt idx="23">
                  <c:v>236.16096763999988</c:v>
                </c:pt>
                <c:pt idx="24">
                  <c:v>238.94618624</c:v>
                </c:pt>
                <c:pt idx="25">
                  <c:v>241.59318749999997</c:v>
                </c:pt>
                <c:pt idx="26">
                  <c:v>244.14261944000006</c:v>
                </c:pt>
                <c:pt idx="27">
                  <c:v>246.63030824000001</c:v>
                </c:pt>
                <c:pt idx="28">
                  <c:v>249.0872582399999</c:v>
                </c:pt>
                <c:pt idx="29">
                  <c:v>251.53965194000003</c:v>
                </c:pt>
                <c:pt idx="30">
                  <c:v>254.00884999999997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FE-D74D-88E6-4E73939D9D0A}"/>
            </c:ext>
          </c:extLst>
        </c:ser>
        <c:ser>
          <c:idx val="1"/>
          <c:order val="1"/>
          <c:tx>
            <c:strRef>
              <c:f>同期発電機の無負荷試験!$P$3</c:f>
              <c:strCache>
                <c:ptCount val="1"/>
                <c:pt idx="0">
                  <c:v>短絡電圧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同期発電機の無負荷試験!$N$4:$N$44</c:f>
              <c:numCache>
                <c:formatCode>0.00</c:formatCode>
                <c:ptCount val="41"/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同期発電機の無負荷試験!$P$4:$P$44</c:f>
              <c:numCache>
                <c:formatCode>General</c:formatCode>
                <c:ptCount val="41"/>
                <c:pt idx="5">
                  <c:v>4.8476999999999997</c:v>
                </c:pt>
                <c:pt idx="6">
                  <c:v>5.6926999999999994</c:v>
                </c:pt>
                <c:pt idx="7">
                  <c:v>6.5376999999999992</c:v>
                </c:pt>
                <c:pt idx="8">
                  <c:v>7.3826999999999998</c:v>
                </c:pt>
                <c:pt idx="9">
                  <c:v>8.2276999999999987</c:v>
                </c:pt>
                <c:pt idx="10">
                  <c:v>9.0726999999999993</c:v>
                </c:pt>
                <c:pt idx="11">
                  <c:v>9.9177</c:v>
                </c:pt>
                <c:pt idx="12">
                  <c:v>10.762699999999999</c:v>
                </c:pt>
                <c:pt idx="13">
                  <c:v>11.607699999999999</c:v>
                </c:pt>
                <c:pt idx="14">
                  <c:v>12.452699999999998</c:v>
                </c:pt>
                <c:pt idx="15">
                  <c:v>13.297699999999999</c:v>
                </c:pt>
                <c:pt idx="16">
                  <c:v>14.1427</c:v>
                </c:pt>
                <c:pt idx="17">
                  <c:v>14.987699999999998</c:v>
                </c:pt>
                <c:pt idx="18">
                  <c:v>15.832699999999999</c:v>
                </c:pt>
                <c:pt idx="19">
                  <c:v>16.677699999999994</c:v>
                </c:pt>
                <c:pt idx="20">
                  <c:v>17.5227</c:v>
                </c:pt>
                <c:pt idx="21">
                  <c:v>18.367699999999999</c:v>
                </c:pt>
                <c:pt idx="22">
                  <c:v>19.212699999999998</c:v>
                </c:pt>
                <c:pt idx="23">
                  <c:v>20.057699999999997</c:v>
                </c:pt>
                <c:pt idx="24">
                  <c:v>20.902699999999996</c:v>
                </c:pt>
                <c:pt idx="25">
                  <c:v>21.747700000000002</c:v>
                </c:pt>
                <c:pt idx="26">
                  <c:v>22.592700000000001</c:v>
                </c:pt>
                <c:pt idx="27">
                  <c:v>23.4377</c:v>
                </c:pt>
                <c:pt idx="28">
                  <c:v>24.282699999999998</c:v>
                </c:pt>
                <c:pt idx="29">
                  <c:v>25.127699999999997</c:v>
                </c:pt>
                <c:pt idx="30">
                  <c:v>25.972699999999996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FE-D74D-88E6-4E73939D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06527"/>
        <c:axId val="736581311"/>
      </c:scatterChart>
      <c:scatterChart>
        <c:scatterStyle val="lineMarker"/>
        <c:varyColors val="0"/>
        <c:ser>
          <c:idx val="2"/>
          <c:order val="2"/>
          <c:tx>
            <c:strRef>
              <c:f>同期発電機の無負荷試験!$Q$3</c:f>
              <c:strCache>
                <c:ptCount val="1"/>
                <c:pt idx="0">
                  <c:v>同期インピーダンス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同期発電機の無負荷試験!$N$4:$N$44</c:f>
              <c:numCache>
                <c:formatCode>0.00</c:formatCode>
                <c:ptCount val="41"/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</c:numCache>
            </c:numRef>
          </c:xVal>
          <c:yVal>
            <c:numRef>
              <c:f>同期発電機の無負荷試験!$Q$4:$Q$44</c:f>
              <c:numCache>
                <c:formatCode>General</c:formatCode>
                <c:ptCount val="41"/>
                <c:pt idx="5">
                  <c:v>10.384660257174801</c:v>
                </c:pt>
                <c:pt idx="6">
                  <c:v>10.640442869440072</c:v>
                </c:pt>
                <c:pt idx="7">
                  <c:v>10.680470040992766</c:v>
                </c:pt>
                <c:pt idx="8">
                  <c:v>10.588792081162971</c:v>
                </c:pt>
                <c:pt idx="9">
                  <c:v>10.414592454821481</c:v>
                </c:pt>
                <c:pt idx="10">
                  <c:v>10.188424670829825</c:v>
                </c:pt>
                <c:pt idx="11">
                  <c:v>9.9301487556318389</c:v>
                </c:pt>
                <c:pt idx="12">
                  <c:v>9.6531290812350061</c:v>
                </c:pt>
                <c:pt idx="13">
                  <c:v>9.3665986699386607</c:v>
                </c:pt>
                <c:pt idx="14">
                  <c:v>9.0770608945690263</c:v>
                </c:pt>
                <c:pt idx="15">
                  <c:v>8.7891567539497153</c:v>
                </c:pt>
                <c:pt idx="16">
                  <c:v>8.5062212398020254</c:v>
                </c:pt>
                <c:pt idx="17">
                  <c:v>8.2306514973037626</c:v>
                </c:pt>
                <c:pt idx="18">
                  <c:v>7.9641570920459888</c:v>
                </c:pt>
                <c:pt idx="19">
                  <c:v>7.7079341961470611</c:v>
                </c:pt>
                <c:pt idx="20">
                  <c:v>7.4627893755355341</c:v>
                </c:pt>
                <c:pt idx="21">
                  <c:v>7.2292292084735479</c:v>
                </c:pt>
                <c:pt idx="22">
                  <c:v>7.0075262548318511</c:v>
                </c:pt>
                <c:pt idx="23">
                  <c:v>6.7977683502613191</c:v>
                </c:pt>
                <c:pt idx="24">
                  <c:v>6.5998959439449685</c:v>
                </c:pt>
                <c:pt idx="25">
                  <c:v>6.4137307318707126</c:v>
                </c:pt>
                <c:pt idx="26">
                  <c:v>6.2389978645467075</c:v>
                </c:pt>
                <c:pt idx="27">
                  <c:v>6.0753433507846069</c:v>
                </c:pt>
                <c:pt idx="28">
                  <c:v>5.9223478277361989</c:v>
                </c:pt>
                <c:pt idx="29">
                  <c:v>5.7795375525584838</c:v>
                </c:pt>
                <c:pt idx="30">
                  <c:v>5.6463932484511536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0FE-D74D-88E6-4E73939D9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5153791"/>
        <c:axId val="665151551"/>
      </c:scatterChart>
      <c:valAx>
        <c:axId val="785406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6581311"/>
        <c:crosses val="autoZero"/>
        <c:crossBetween val="midCat"/>
      </c:valAx>
      <c:valAx>
        <c:axId val="736581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406527"/>
        <c:crosses val="autoZero"/>
        <c:crossBetween val="midCat"/>
      </c:valAx>
      <c:valAx>
        <c:axId val="665151551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5153791"/>
        <c:crosses val="max"/>
        <c:crossBetween val="midCat"/>
      </c:valAx>
      <c:valAx>
        <c:axId val="665153791"/>
        <c:scaling>
          <c:orientation val="minMax"/>
        </c:scaling>
        <c:delete val="1"/>
        <c:axPos val="b"/>
        <c:numFmt formatCode="0.00" sourceLinked="1"/>
        <c:majorTickMark val="out"/>
        <c:minorTickMark val="none"/>
        <c:tickLblPos val="nextTo"/>
        <c:crossAx val="665151551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同期発電機の無負荷試験!$E$3</c:f>
              <c:strCache>
                <c:ptCount val="1"/>
                <c:pt idx="0">
                  <c:v>端子間電圧 V_0L [V]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7.2852655013030398E-2"/>
                  <c:y val="-2.757888655305419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</c:trendlineLbl>
          </c:trendline>
          <c:xVal>
            <c:numRef>
              <c:f>同期発電機の無負荷試験!$D$4:$D$48</c:f>
              <c:numCache>
                <c:formatCode>0.000</c:formatCode>
                <c:ptCount val="45"/>
                <c:pt idx="0">
                  <c:v>0.64</c:v>
                </c:pt>
                <c:pt idx="1">
                  <c:v>0.7</c:v>
                </c:pt>
                <c:pt idx="2">
                  <c:v>0.8</c:v>
                </c:pt>
                <c:pt idx="3">
                  <c:v>0.9</c:v>
                </c:pt>
                <c:pt idx="4">
                  <c:v>1</c:v>
                </c:pt>
                <c:pt idx="5">
                  <c:v>1.1000000000000001</c:v>
                </c:pt>
                <c:pt idx="6">
                  <c:v>1.1850000000000001</c:v>
                </c:pt>
                <c:pt idx="7">
                  <c:v>1.3</c:v>
                </c:pt>
                <c:pt idx="8">
                  <c:v>1.4</c:v>
                </c:pt>
                <c:pt idx="9">
                  <c:v>1.5</c:v>
                </c:pt>
                <c:pt idx="10">
                  <c:v>1.6</c:v>
                </c:pt>
                <c:pt idx="11">
                  <c:v>1.7</c:v>
                </c:pt>
                <c:pt idx="12">
                  <c:v>1.8</c:v>
                </c:pt>
                <c:pt idx="13">
                  <c:v>1.875</c:v>
                </c:pt>
                <c:pt idx="14">
                  <c:v>2</c:v>
                </c:pt>
                <c:pt idx="15">
                  <c:v>2.1</c:v>
                </c:pt>
                <c:pt idx="16">
                  <c:v>2.2149999999999999</c:v>
                </c:pt>
                <c:pt idx="17">
                  <c:v>2.4</c:v>
                </c:pt>
                <c:pt idx="18">
                  <c:v>2.5150000000000001</c:v>
                </c:pt>
                <c:pt idx="19">
                  <c:v>2.5950000000000002</c:v>
                </c:pt>
                <c:pt idx="20">
                  <c:v>2.7</c:v>
                </c:pt>
                <c:pt idx="21">
                  <c:v>2.86</c:v>
                </c:pt>
                <c:pt idx="22">
                  <c:v>2.8</c:v>
                </c:pt>
                <c:pt idx="23">
                  <c:v>2.68</c:v>
                </c:pt>
                <c:pt idx="24">
                  <c:v>2.58</c:v>
                </c:pt>
                <c:pt idx="25">
                  <c:v>2.5</c:v>
                </c:pt>
                <c:pt idx="26">
                  <c:v>2.38</c:v>
                </c:pt>
                <c:pt idx="27">
                  <c:v>2.2999999999999998</c:v>
                </c:pt>
                <c:pt idx="28">
                  <c:v>2.2000000000000002</c:v>
                </c:pt>
                <c:pt idx="29">
                  <c:v>2.09</c:v>
                </c:pt>
                <c:pt idx="30">
                  <c:v>2</c:v>
                </c:pt>
                <c:pt idx="31">
                  <c:v>1.91</c:v>
                </c:pt>
                <c:pt idx="32">
                  <c:v>1.8</c:v>
                </c:pt>
                <c:pt idx="33">
                  <c:v>1.7150000000000001</c:v>
                </c:pt>
                <c:pt idx="34">
                  <c:v>1.6</c:v>
                </c:pt>
                <c:pt idx="35">
                  <c:v>1.5</c:v>
                </c:pt>
                <c:pt idx="36">
                  <c:v>1.4</c:v>
                </c:pt>
                <c:pt idx="37">
                  <c:v>1.29</c:v>
                </c:pt>
                <c:pt idx="38">
                  <c:v>1.19</c:v>
                </c:pt>
                <c:pt idx="39">
                  <c:v>1.1000000000000001</c:v>
                </c:pt>
                <c:pt idx="40">
                  <c:v>1</c:v>
                </c:pt>
                <c:pt idx="41">
                  <c:v>0.9</c:v>
                </c:pt>
                <c:pt idx="42">
                  <c:v>0.8</c:v>
                </c:pt>
                <c:pt idx="43">
                  <c:v>0.7</c:v>
                </c:pt>
                <c:pt idx="44">
                  <c:v>0.63</c:v>
                </c:pt>
              </c:numCache>
            </c:numRef>
          </c:xVal>
          <c:yVal>
            <c:numRef>
              <c:f>同期発電機の無負荷試験!$E$4:$E$48</c:f>
              <c:numCache>
                <c:formatCode>0.0</c:formatCode>
                <c:ptCount val="45"/>
                <c:pt idx="0">
                  <c:v>111.5</c:v>
                </c:pt>
                <c:pt idx="1">
                  <c:v>116.5</c:v>
                </c:pt>
                <c:pt idx="2">
                  <c:v>132</c:v>
                </c:pt>
                <c:pt idx="3">
                  <c:v>142.5</c:v>
                </c:pt>
                <c:pt idx="4">
                  <c:v>156</c:v>
                </c:pt>
                <c:pt idx="5">
                  <c:v>166.5</c:v>
                </c:pt>
                <c:pt idx="6">
                  <c:v>176.5</c:v>
                </c:pt>
                <c:pt idx="7">
                  <c:v>186</c:v>
                </c:pt>
                <c:pt idx="8">
                  <c:v>193.5</c:v>
                </c:pt>
                <c:pt idx="9">
                  <c:v>200.5</c:v>
                </c:pt>
                <c:pt idx="10">
                  <c:v>206.5</c:v>
                </c:pt>
                <c:pt idx="11">
                  <c:v>211.5</c:v>
                </c:pt>
                <c:pt idx="12">
                  <c:v>216</c:v>
                </c:pt>
                <c:pt idx="13">
                  <c:v>220.5</c:v>
                </c:pt>
                <c:pt idx="14">
                  <c:v>225</c:v>
                </c:pt>
                <c:pt idx="15">
                  <c:v>229</c:v>
                </c:pt>
                <c:pt idx="16">
                  <c:v>232.5</c:v>
                </c:pt>
                <c:pt idx="17">
                  <c:v>238</c:v>
                </c:pt>
                <c:pt idx="18">
                  <c:v>241.5</c:v>
                </c:pt>
                <c:pt idx="19">
                  <c:v>244</c:v>
                </c:pt>
                <c:pt idx="20">
                  <c:v>247</c:v>
                </c:pt>
                <c:pt idx="21">
                  <c:v>250</c:v>
                </c:pt>
                <c:pt idx="22">
                  <c:v>249</c:v>
                </c:pt>
                <c:pt idx="23">
                  <c:v>246</c:v>
                </c:pt>
                <c:pt idx="24">
                  <c:v>244.5</c:v>
                </c:pt>
                <c:pt idx="25">
                  <c:v>243</c:v>
                </c:pt>
                <c:pt idx="26">
                  <c:v>240</c:v>
                </c:pt>
                <c:pt idx="27">
                  <c:v>236.5</c:v>
                </c:pt>
                <c:pt idx="28">
                  <c:v>235</c:v>
                </c:pt>
                <c:pt idx="29">
                  <c:v>229.5</c:v>
                </c:pt>
                <c:pt idx="30">
                  <c:v>227.5</c:v>
                </c:pt>
                <c:pt idx="31">
                  <c:v>223.5</c:v>
                </c:pt>
                <c:pt idx="32">
                  <c:v>219</c:v>
                </c:pt>
                <c:pt idx="33">
                  <c:v>216</c:v>
                </c:pt>
                <c:pt idx="34">
                  <c:v>210</c:v>
                </c:pt>
                <c:pt idx="35">
                  <c:v>205.5</c:v>
                </c:pt>
                <c:pt idx="36">
                  <c:v>198.5</c:v>
                </c:pt>
                <c:pt idx="37">
                  <c:v>192</c:v>
                </c:pt>
                <c:pt idx="38">
                  <c:v>183</c:v>
                </c:pt>
                <c:pt idx="39">
                  <c:v>175.5</c:v>
                </c:pt>
                <c:pt idx="40">
                  <c:v>164</c:v>
                </c:pt>
                <c:pt idx="41">
                  <c:v>151.5</c:v>
                </c:pt>
                <c:pt idx="42">
                  <c:v>137</c:v>
                </c:pt>
                <c:pt idx="43">
                  <c:v>122.5</c:v>
                </c:pt>
                <c:pt idx="44">
                  <c:v>114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56-1746-99BA-E52754550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414591"/>
        <c:axId val="785405631"/>
      </c:scatterChart>
      <c:valAx>
        <c:axId val="78541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405631"/>
        <c:crosses val="autoZero"/>
        <c:crossBetween val="midCat"/>
      </c:valAx>
      <c:valAx>
        <c:axId val="785405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541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837277</xdr:colOff>
      <xdr:row>3</xdr:row>
      <xdr:rowOff>65055</xdr:rowOff>
    </xdr:from>
    <xdr:to>
      <xdr:col>19</xdr:col>
      <xdr:colOff>97692</xdr:colOff>
      <xdr:row>21</xdr:row>
      <xdr:rowOff>90713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202398F-D5CF-B9FB-C36B-FBCC95A477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260195</xdr:colOff>
      <xdr:row>18</xdr:row>
      <xdr:rowOff>64870</xdr:rowOff>
    </xdr:from>
    <xdr:to>
      <xdr:col>27</xdr:col>
      <xdr:colOff>662609</xdr:colOff>
      <xdr:row>42</xdr:row>
      <xdr:rowOff>147246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A3F9D7A-6A9E-077B-2B3A-EB6F362A88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477664</xdr:colOff>
      <xdr:row>20</xdr:row>
      <xdr:rowOff>70214</xdr:rowOff>
    </xdr:from>
    <xdr:to>
      <xdr:col>10</xdr:col>
      <xdr:colOff>1309478</xdr:colOff>
      <xdr:row>40</xdr:row>
      <xdr:rowOff>226429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AF9C617-4555-9F58-5B07-92331A52F4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825500</xdr:colOff>
      <xdr:row>44</xdr:row>
      <xdr:rowOff>25400</xdr:rowOff>
    </xdr:from>
    <xdr:to>
      <xdr:col>27</xdr:col>
      <xdr:colOff>660400</xdr:colOff>
      <xdr:row>71</xdr:row>
      <xdr:rowOff>38100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D016042-B1D9-6BE3-1001-A02DC8D2A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101600</xdr:colOff>
      <xdr:row>43</xdr:row>
      <xdr:rowOff>59267</xdr:rowOff>
    </xdr:from>
    <xdr:to>
      <xdr:col>11</xdr:col>
      <xdr:colOff>155965</xdr:colOff>
      <xdr:row>62</xdr:row>
      <xdr:rowOff>96550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12164A25-184A-2DDE-3CED-10A08B5F09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E351-C8C3-854D-9DAF-8018C668AC43}">
  <dimension ref="A1:J23"/>
  <sheetViews>
    <sheetView topLeftCell="C1" zoomScale="182" workbookViewId="0">
      <selection activeCell="H1" sqref="H1"/>
    </sheetView>
  </sheetViews>
  <sheetFormatPr baseColWidth="10" defaultRowHeight="20"/>
  <cols>
    <col min="1" max="1" width="17.28515625" customWidth="1"/>
    <col min="2" max="2" width="16.85546875" customWidth="1"/>
    <col min="3" max="4" width="19.28515625" customWidth="1"/>
    <col min="10" max="10" width="17.140625" customWidth="1"/>
  </cols>
  <sheetData>
    <row r="1" spans="1:10">
      <c r="A1" t="s">
        <v>9</v>
      </c>
      <c r="B1">
        <v>1</v>
      </c>
      <c r="C1">
        <v>0.15</v>
      </c>
      <c r="D1">
        <v>5</v>
      </c>
      <c r="E1">
        <v>1.4999999999999999E-2</v>
      </c>
      <c r="F1">
        <v>0.15</v>
      </c>
      <c r="G1">
        <v>1.5</v>
      </c>
      <c r="H1">
        <v>0.05</v>
      </c>
      <c r="I1">
        <v>1.4999999999999999E-2</v>
      </c>
    </row>
    <row r="2" spans="1:10">
      <c r="B2" t="s">
        <v>7</v>
      </c>
      <c r="C2" t="s">
        <v>6</v>
      </c>
      <c r="D2" t="s">
        <v>8</v>
      </c>
      <c r="E2" t="s">
        <v>5</v>
      </c>
      <c r="F2" t="s">
        <v>4</v>
      </c>
      <c r="G2" t="s">
        <v>0</v>
      </c>
      <c r="H2" t="s">
        <v>3</v>
      </c>
      <c r="I2" t="s">
        <v>2</v>
      </c>
      <c r="J2" t="s">
        <v>1</v>
      </c>
    </row>
    <row r="3" spans="1:10">
      <c r="B3" s="1">
        <v>97</v>
      </c>
      <c r="C3" s="3">
        <v>28.4</v>
      </c>
      <c r="D3" s="1">
        <v>1505</v>
      </c>
      <c r="E3" s="4">
        <v>1.0549999999999999</v>
      </c>
      <c r="F3" s="3">
        <v>27.15</v>
      </c>
      <c r="G3" s="2">
        <v>197.5</v>
      </c>
      <c r="H3" s="3">
        <v>5.75</v>
      </c>
      <c r="I3" s="3">
        <v>1.66</v>
      </c>
      <c r="J3" s="1">
        <v>50</v>
      </c>
    </row>
    <row r="4" spans="1:10">
      <c r="B4" s="1">
        <v>97</v>
      </c>
      <c r="C4" s="3">
        <v>27.4</v>
      </c>
      <c r="D4" s="1">
        <v>1500</v>
      </c>
      <c r="E4" s="4">
        <v>1.355</v>
      </c>
      <c r="F4" s="3">
        <v>26.15</v>
      </c>
      <c r="G4" s="2">
        <v>198</v>
      </c>
      <c r="H4" s="3">
        <v>5.5</v>
      </c>
      <c r="I4" s="3">
        <v>1.66</v>
      </c>
      <c r="J4" s="1">
        <v>50</v>
      </c>
    </row>
    <row r="5" spans="1:10">
      <c r="B5" s="1">
        <v>97</v>
      </c>
      <c r="C5" s="3">
        <v>24.8</v>
      </c>
      <c r="D5" s="1">
        <v>1510</v>
      </c>
      <c r="E5" s="4">
        <v>1.0649999999999999</v>
      </c>
      <c r="F5" s="3">
        <v>23.45</v>
      </c>
      <c r="G5" s="2">
        <v>201</v>
      </c>
      <c r="H5" s="3">
        <v>5</v>
      </c>
      <c r="I5" s="3">
        <v>1.66</v>
      </c>
      <c r="J5" s="1">
        <v>50</v>
      </c>
    </row>
    <row r="6" spans="1:10">
      <c r="B6" s="1">
        <v>97</v>
      </c>
      <c r="C6" s="3">
        <v>22.03</v>
      </c>
      <c r="D6" s="1">
        <v>1510</v>
      </c>
      <c r="E6" s="4">
        <v>1.7749999999999999</v>
      </c>
      <c r="F6" s="3">
        <v>20.85</v>
      </c>
      <c r="G6" s="2">
        <v>202</v>
      </c>
      <c r="H6" s="3">
        <v>4.5</v>
      </c>
      <c r="I6" s="3">
        <v>1.66</v>
      </c>
      <c r="J6" s="1">
        <v>50</v>
      </c>
    </row>
    <row r="7" spans="1:10">
      <c r="B7" s="1">
        <v>97</v>
      </c>
      <c r="C7" s="3">
        <v>19.55</v>
      </c>
      <c r="D7" s="1">
        <v>1505</v>
      </c>
      <c r="E7" s="4">
        <v>1.085</v>
      </c>
      <c r="F7" s="3">
        <v>18.149999999999999</v>
      </c>
      <c r="G7" s="2">
        <v>202.5</v>
      </c>
      <c r="H7" s="3">
        <v>4</v>
      </c>
      <c r="I7" s="3">
        <v>1.66</v>
      </c>
      <c r="J7" s="1">
        <v>50</v>
      </c>
    </row>
    <row r="8" spans="1:10">
      <c r="B8" s="1">
        <v>98</v>
      </c>
      <c r="C8" s="3">
        <v>17.5</v>
      </c>
      <c r="D8" s="1">
        <v>1505</v>
      </c>
      <c r="E8" s="4">
        <v>1.085</v>
      </c>
      <c r="F8" s="3">
        <v>16.149999999999999</v>
      </c>
      <c r="G8" s="2">
        <v>204</v>
      </c>
      <c r="H8" s="3">
        <v>3.5</v>
      </c>
      <c r="I8" s="3">
        <v>1.66</v>
      </c>
      <c r="J8" s="1">
        <v>50</v>
      </c>
    </row>
    <row r="9" spans="1:10">
      <c r="B9" s="1">
        <v>98</v>
      </c>
      <c r="C9" s="3">
        <v>15.45</v>
      </c>
      <c r="D9" s="1">
        <v>1505</v>
      </c>
      <c r="E9" s="4">
        <v>1.085</v>
      </c>
      <c r="F9" s="3">
        <v>14.15</v>
      </c>
      <c r="G9" s="2">
        <v>205.5</v>
      </c>
      <c r="H9" s="3">
        <v>3</v>
      </c>
      <c r="I9" s="3">
        <v>1.66</v>
      </c>
      <c r="J9" s="1">
        <v>50</v>
      </c>
    </row>
    <row r="10" spans="1:10">
      <c r="B10" s="1">
        <v>98</v>
      </c>
      <c r="C10" s="3">
        <v>13.05</v>
      </c>
      <c r="D10" s="1">
        <v>1500</v>
      </c>
      <c r="E10" s="4">
        <v>1.095</v>
      </c>
      <c r="F10" s="3">
        <v>11.8</v>
      </c>
      <c r="G10" s="2">
        <v>206</v>
      </c>
      <c r="H10" s="3">
        <v>2.5</v>
      </c>
      <c r="I10" s="3">
        <v>1.66</v>
      </c>
      <c r="J10" s="1">
        <v>50</v>
      </c>
    </row>
    <row r="11" spans="1:10">
      <c r="B11" s="1">
        <v>98</v>
      </c>
      <c r="C11" s="3">
        <v>11</v>
      </c>
      <c r="D11" s="1">
        <v>1505</v>
      </c>
      <c r="E11" s="4">
        <v>1.095</v>
      </c>
      <c r="F11" s="3">
        <v>9.75</v>
      </c>
      <c r="G11" s="2">
        <v>207.5</v>
      </c>
      <c r="H11" s="3">
        <v>2</v>
      </c>
      <c r="I11" s="3">
        <v>1.66</v>
      </c>
      <c r="J11" s="1">
        <v>50</v>
      </c>
    </row>
    <row r="12" spans="1:10">
      <c r="B12" s="1">
        <v>98</v>
      </c>
      <c r="C12" s="3">
        <v>9</v>
      </c>
      <c r="D12" s="1">
        <v>1500</v>
      </c>
      <c r="E12" s="4">
        <v>1.105</v>
      </c>
      <c r="F12" s="3">
        <v>7.7</v>
      </c>
      <c r="G12" s="2">
        <v>208</v>
      </c>
      <c r="H12" s="3">
        <v>1.5</v>
      </c>
      <c r="I12" s="3">
        <v>1.66</v>
      </c>
      <c r="J12" s="1">
        <v>50</v>
      </c>
    </row>
    <row r="13" spans="1:10">
      <c r="B13" s="1">
        <v>98</v>
      </c>
      <c r="C13" s="3">
        <v>7</v>
      </c>
      <c r="D13" s="1">
        <v>1510</v>
      </c>
      <c r="E13" s="4">
        <v>1.105</v>
      </c>
      <c r="F13" s="3">
        <v>5.75</v>
      </c>
      <c r="G13" s="2">
        <v>209.5</v>
      </c>
      <c r="H13" s="3">
        <v>1</v>
      </c>
      <c r="I13" s="3">
        <v>1.66</v>
      </c>
      <c r="J13" s="1">
        <v>50</v>
      </c>
    </row>
    <row r="14" spans="1:10">
      <c r="B14" s="1">
        <v>99</v>
      </c>
      <c r="C14" s="3">
        <v>3.4</v>
      </c>
      <c r="D14" s="1">
        <v>1500</v>
      </c>
      <c r="E14" s="4">
        <v>1.1399999999999999</v>
      </c>
      <c r="F14" s="3">
        <v>2.1</v>
      </c>
      <c r="G14" s="2">
        <v>210.5</v>
      </c>
      <c r="H14" s="3">
        <v>0</v>
      </c>
      <c r="I14" s="3">
        <v>1.66</v>
      </c>
      <c r="J14" s="1">
        <v>50</v>
      </c>
    </row>
    <row r="15" spans="1:10">
      <c r="B15" s="1"/>
      <c r="C15" s="3"/>
      <c r="D15" s="1"/>
      <c r="E15" s="4"/>
      <c r="F15" s="3"/>
      <c r="G15" s="2"/>
      <c r="H15" s="3"/>
      <c r="I15" s="3"/>
      <c r="J15" s="1"/>
    </row>
    <row r="16" spans="1:10">
      <c r="B16" s="1"/>
      <c r="C16" s="3"/>
      <c r="D16" s="1"/>
      <c r="E16" s="4"/>
      <c r="F16" s="3"/>
      <c r="G16" s="2"/>
      <c r="H16" s="3"/>
      <c r="I16" s="3"/>
      <c r="J16" s="1"/>
    </row>
    <row r="17" spans="2:10">
      <c r="B17" s="1"/>
      <c r="C17" s="3"/>
      <c r="D17" s="1"/>
      <c r="E17" s="4"/>
      <c r="F17" s="3"/>
      <c r="G17" s="2"/>
      <c r="H17" s="3"/>
      <c r="I17" s="3"/>
      <c r="J17" s="1"/>
    </row>
    <row r="18" spans="2:10">
      <c r="B18" s="1"/>
      <c r="C18" s="3"/>
      <c r="D18" s="1"/>
      <c r="E18" s="4"/>
      <c r="F18" s="3"/>
      <c r="G18" s="2"/>
      <c r="H18" s="3"/>
      <c r="I18" s="3"/>
      <c r="J18" s="1"/>
    </row>
    <row r="19" spans="2:10">
      <c r="B19" s="1"/>
      <c r="C19" s="3"/>
      <c r="D19" s="1"/>
      <c r="E19" s="4"/>
      <c r="F19" s="3"/>
      <c r="G19" s="2"/>
      <c r="H19" s="3"/>
      <c r="I19" s="3"/>
      <c r="J19" s="1"/>
    </row>
    <row r="20" spans="2:10">
      <c r="B20" s="1"/>
      <c r="C20" s="3"/>
      <c r="D20" s="1"/>
      <c r="E20" s="4"/>
      <c r="F20" s="3"/>
      <c r="G20" s="2"/>
      <c r="H20" s="3"/>
      <c r="I20" s="3"/>
      <c r="J20" s="1"/>
    </row>
    <row r="21" spans="2:10">
      <c r="B21" s="5"/>
      <c r="C21" s="6"/>
      <c r="D21" s="5"/>
      <c r="E21" s="7"/>
      <c r="F21" s="6"/>
      <c r="G21" s="8"/>
      <c r="H21" s="6"/>
      <c r="I21" s="6"/>
      <c r="J21" s="5"/>
    </row>
    <row r="23" spans="2:10">
      <c r="H23" t="s">
        <v>10</v>
      </c>
      <c r="I23" s="9">
        <f>(G14-200)*100/200</f>
        <v>5.25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CA82-6C56-A643-9C51-D516209DF25C}">
  <dimension ref="B1:Q53"/>
  <sheetViews>
    <sheetView tabSelected="1" topLeftCell="Q40" zoomScale="134" zoomScaleNormal="400" workbookViewId="0">
      <selection activeCell="D3" sqref="D3:E48"/>
    </sheetView>
  </sheetViews>
  <sheetFormatPr baseColWidth="10" defaultRowHeight="20"/>
  <cols>
    <col min="2" max="2" width="11.7109375" customWidth="1"/>
    <col min="3" max="3" width="12.140625" customWidth="1"/>
    <col min="4" max="4" width="16.28515625" customWidth="1"/>
    <col min="5" max="5" width="18" customWidth="1"/>
    <col min="8" max="8" width="14.85546875" customWidth="1"/>
    <col min="9" max="9" width="16" customWidth="1"/>
    <col min="10" max="10" width="16.140625" customWidth="1"/>
    <col min="11" max="11" width="16" customWidth="1"/>
    <col min="12" max="12" width="21.5703125" customWidth="1"/>
    <col min="15" max="15" width="26.85546875" customWidth="1"/>
    <col min="16" max="16" width="31.28515625" customWidth="1"/>
    <col min="17" max="17" width="26.140625" customWidth="1"/>
  </cols>
  <sheetData>
    <row r="1" spans="2:17">
      <c r="B1" t="s">
        <v>15</v>
      </c>
      <c r="G1" t="s">
        <v>16</v>
      </c>
      <c r="N1" t="s">
        <v>21</v>
      </c>
    </row>
    <row r="2" spans="2:17">
      <c r="D2">
        <v>1.4999999999999999E-2</v>
      </c>
      <c r="E2">
        <v>1.5</v>
      </c>
      <c r="H2">
        <v>1.4999999999999999E-2</v>
      </c>
      <c r="I2">
        <v>0.05</v>
      </c>
      <c r="J2">
        <v>0.05</v>
      </c>
      <c r="K2">
        <v>0.05</v>
      </c>
    </row>
    <row r="3" spans="2:17">
      <c r="B3" t="s">
        <v>14</v>
      </c>
      <c r="C3" t="s">
        <v>13</v>
      </c>
      <c r="D3" t="s">
        <v>11</v>
      </c>
      <c r="E3" t="s">
        <v>12</v>
      </c>
      <c r="G3" t="s">
        <v>14</v>
      </c>
      <c r="H3" t="s">
        <v>11</v>
      </c>
      <c r="I3" t="s">
        <v>19</v>
      </c>
      <c r="J3" t="s">
        <v>17</v>
      </c>
      <c r="K3" t="s">
        <v>18</v>
      </c>
      <c r="L3" t="s">
        <v>20</v>
      </c>
      <c r="N3" t="s">
        <v>22</v>
      </c>
      <c r="O3" t="s">
        <v>23</v>
      </c>
      <c r="P3" t="s">
        <v>24</v>
      </c>
      <c r="Q3" t="s">
        <v>21</v>
      </c>
    </row>
    <row r="4" spans="2:17">
      <c r="B4">
        <v>1510</v>
      </c>
      <c r="C4">
        <v>50</v>
      </c>
      <c r="D4" s="9">
        <v>0.64</v>
      </c>
      <c r="E4" s="11">
        <v>111.5</v>
      </c>
      <c r="G4">
        <v>1500</v>
      </c>
      <c r="H4" s="9">
        <v>0.75</v>
      </c>
      <c r="I4" s="12">
        <v>7</v>
      </c>
      <c r="J4" s="12">
        <v>6.9</v>
      </c>
      <c r="K4" s="12">
        <v>6.9</v>
      </c>
      <c r="L4" s="12">
        <f>AVERAGE(I4:K4)</f>
        <v>6.9333333333333336</v>
      </c>
      <c r="N4" s="12"/>
    </row>
    <row r="5" spans="2:17">
      <c r="B5">
        <v>1505</v>
      </c>
      <c r="C5">
        <v>50</v>
      </c>
      <c r="D5" s="9">
        <v>0.7</v>
      </c>
      <c r="E5" s="11">
        <v>116.5</v>
      </c>
      <c r="G5">
        <v>1500</v>
      </c>
      <c r="H5" s="9">
        <v>0.78500000000000003</v>
      </c>
      <c r="I5" s="12">
        <v>7.25</v>
      </c>
      <c r="J5" s="12">
        <v>7.05</v>
      </c>
      <c r="K5" s="12">
        <v>7.1</v>
      </c>
      <c r="L5" s="12">
        <f>AVERAGE(I5:K5)</f>
        <v>7.1333333333333329</v>
      </c>
      <c r="N5" s="12"/>
    </row>
    <row r="6" spans="2:17">
      <c r="B6">
        <v>1505</v>
      </c>
      <c r="C6">
        <v>50</v>
      </c>
      <c r="D6" s="9">
        <v>0.8</v>
      </c>
      <c r="E6" s="11">
        <v>132</v>
      </c>
      <c r="G6">
        <v>1500</v>
      </c>
      <c r="H6" s="9">
        <v>0.69</v>
      </c>
      <c r="I6" s="12">
        <v>6.5</v>
      </c>
      <c r="J6" s="12">
        <v>6.4</v>
      </c>
      <c r="K6" s="12">
        <v>6.45</v>
      </c>
      <c r="L6" s="12">
        <f>AVERAGE(I6:K6)</f>
        <v>6.45</v>
      </c>
      <c r="N6" s="12"/>
    </row>
    <row r="7" spans="2:17">
      <c r="B7">
        <v>1500</v>
      </c>
      <c r="C7">
        <v>50</v>
      </c>
      <c r="D7" s="9">
        <v>0.9</v>
      </c>
      <c r="E7" s="11">
        <v>142.5</v>
      </c>
      <c r="G7">
        <v>1500</v>
      </c>
      <c r="H7" s="9">
        <v>0.61499999999999999</v>
      </c>
      <c r="I7" s="12">
        <v>6</v>
      </c>
      <c r="J7" s="12">
        <v>5.9</v>
      </c>
      <c r="K7" s="12">
        <v>5.95</v>
      </c>
      <c r="L7" s="12">
        <f>AVERAGE(I7:K7)</f>
        <v>5.95</v>
      </c>
      <c r="N7" s="12"/>
    </row>
    <row r="8" spans="2:17">
      <c r="B8">
        <v>1505</v>
      </c>
      <c r="C8">
        <v>50</v>
      </c>
      <c r="D8" s="9">
        <v>1</v>
      </c>
      <c r="E8" s="11">
        <v>156</v>
      </c>
      <c r="G8">
        <v>1500</v>
      </c>
      <c r="H8" s="9">
        <v>0.56999999999999995</v>
      </c>
      <c r="I8" s="12">
        <v>5.5</v>
      </c>
      <c r="J8" s="12">
        <v>5.45</v>
      </c>
      <c r="K8" s="12">
        <v>5.5</v>
      </c>
      <c r="L8" s="12">
        <f>AVERAGE(I8:K8)</f>
        <v>5.4833333333333334</v>
      </c>
      <c r="N8" s="12"/>
    </row>
    <row r="9" spans="2:17">
      <c r="B9">
        <v>1505</v>
      </c>
      <c r="C9">
        <v>50</v>
      </c>
      <c r="D9" s="9">
        <v>1.1000000000000001</v>
      </c>
      <c r="E9" s="11">
        <v>166.5</v>
      </c>
      <c r="G9">
        <v>1500</v>
      </c>
      <c r="H9" s="9">
        <v>0.51</v>
      </c>
      <c r="I9" s="12">
        <v>5</v>
      </c>
      <c r="J9" s="12">
        <v>4.9000000000000004</v>
      </c>
      <c r="K9" s="12">
        <v>4.95</v>
      </c>
      <c r="L9" s="12">
        <f>AVERAGE(I9:K9)</f>
        <v>4.95</v>
      </c>
      <c r="N9" s="12">
        <v>0.5</v>
      </c>
      <c r="O9">
        <f t="shared" ref="O5:O44" si="0">-2.0091*(N9)^4+26.46385*(N9)^3-127.996*(N9)^2+295.27 *N9-31.624</f>
        <v>87.194412499999999</v>
      </c>
      <c r="P9">
        <f t="shared" ref="P5:P44" si="1" xml:space="preserve"> 8.45*N9 + 0.6227</f>
        <v>4.8476999999999997</v>
      </c>
      <c r="Q9">
        <f t="shared" ref="Q5:Q44" si="2">O9/(SQRT(3)*P9)</f>
        <v>10.384660257174801</v>
      </c>
    </row>
    <row r="10" spans="2:17">
      <c r="B10">
        <v>1505</v>
      </c>
      <c r="C10">
        <v>50</v>
      </c>
      <c r="D10" s="9">
        <v>1.1850000000000001</v>
      </c>
      <c r="E10" s="11">
        <v>176.5</v>
      </c>
      <c r="G10">
        <v>1500</v>
      </c>
      <c r="H10" s="9">
        <v>0.45</v>
      </c>
      <c r="I10" s="12">
        <v>4.5</v>
      </c>
      <c r="J10" s="12">
        <v>4.4000000000000004</v>
      </c>
      <c r="K10" s="12">
        <v>4.4000000000000004</v>
      </c>
      <c r="L10" s="12">
        <f>AVERAGE(I10:K10)</f>
        <v>4.4333333333333336</v>
      </c>
      <c r="N10" s="12">
        <v>0.6</v>
      </c>
      <c r="O10">
        <f t="shared" si="0"/>
        <v>104.91525224</v>
      </c>
      <c r="P10">
        <f t="shared" si="1"/>
        <v>5.6926999999999994</v>
      </c>
      <c r="Q10">
        <f t="shared" si="2"/>
        <v>10.640442869440072</v>
      </c>
    </row>
    <row r="11" spans="2:17">
      <c r="B11">
        <v>1505</v>
      </c>
      <c r="C11">
        <v>50</v>
      </c>
      <c r="D11" s="9">
        <v>1.3</v>
      </c>
      <c r="E11" s="11">
        <v>186</v>
      </c>
      <c r="G11">
        <v>1500</v>
      </c>
      <c r="H11" s="9">
        <v>0.39</v>
      </c>
      <c r="I11" s="12">
        <v>4</v>
      </c>
      <c r="J11" s="12">
        <v>3.9</v>
      </c>
      <c r="K11" s="12">
        <v>3.9</v>
      </c>
      <c r="L11" s="12">
        <f>AVERAGE(I11:K11)</f>
        <v>3.9333333333333336</v>
      </c>
      <c r="N11" s="12">
        <v>0.7</v>
      </c>
      <c r="O11">
        <f t="shared" si="0"/>
        <v>120.94167563999997</v>
      </c>
      <c r="P11">
        <f t="shared" si="1"/>
        <v>6.5376999999999992</v>
      </c>
      <c r="Q11">
        <f t="shared" si="2"/>
        <v>10.680470040992766</v>
      </c>
    </row>
    <row r="12" spans="2:17">
      <c r="B12">
        <v>1505</v>
      </c>
      <c r="C12">
        <v>50</v>
      </c>
      <c r="D12" s="9">
        <v>1.4</v>
      </c>
      <c r="E12" s="11">
        <v>193.5</v>
      </c>
      <c r="G12">
        <v>1500</v>
      </c>
      <c r="H12" s="9">
        <v>0.33</v>
      </c>
      <c r="I12" s="12">
        <v>3.5</v>
      </c>
      <c r="J12" s="12">
        <v>3.4</v>
      </c>
      <c r="K12" s="12">
        <v>3.45</v>
      </c>
      <c r="L12" s="12">
        <f>AVERAGE(I12:K12)</f>
        <v>3.4500000000000006</v>
      </c>
      <c r="N12" s="12">
        <v>0.8</v>
      </c>
      <c r="O12">
        <f t="shared" si="0"/>
        <v>135.40112384</v>
      </c>
      <c r="P12">
        <f t="shared" si="1"/>
        <v>7.3826999999999998</v>
      </c>
      <c r="Q12">
        <f t="shared" si="2"/>
        <v>10.588792081162971</v>
      </c>
    </row>
    <row r="13" spans="2:17">
      <c r="B13">
        <v>1505</v>
      </c>
      <c r="C13">
        <v>50</v>
      </c>
      <c r="D13" s="9">
        <v>1.5</v>
      </c>
      <c r="E13" s="11">
        <v>200.5</v>
      </c>
      <c r="G13">
        <v>1500</v>
      </c>
      <c r="H13" s="9">
        <v>0.28499999999999998</v>
      </c>
      <c r="I13" s="12">
        <v>3</v>
      </c>
      <c r="J13" s="12">
        <v>2.95</v>
      </c>
      <c r="K13" s="12">
        <v>3</v>
      </c>
      <c r="L13" s="12">
        <f>AVERAGE(I13:K13)</f>
        <v>2.9833333333333329</v>
      </c>
      <c r="N13" s="12">
        <v>0.9</v>
      </c>
      <c r="O13">
        <f t="shared" si="0"/>
        <v>148.41621613999999</v>
      </c>
      <c r="P13">
        <f t="shared" si="1"/>
        <v>8.2276999999999987</v>
      </c>
      <c r="Q13">
        <f t="shared" si="2"/>
        <v>10.414592454821481</v>
      </c>
    </row>
    <row r="14" spans="2:17">
      <c r="B14">
        <v>1505</v>
      </c>
      <c r="C14">
        <v>50</v>
      </c>
      <c r="D14" s="9">
        <v>1.6</v>
      </c>
      <c r="E14" s="11">
        <v>206.5</v>
      </c>
      <c r="G14">
        <v>1500</v>
      </c>
      <c r="H14" s="9">
        <v>0.21</v>
      </c>
      <c r="I14" s="12">
        <v>2.5</v>
      </c>
      <c r="J14" s="12">
        <v>2.4500000000000002</v>
      </c>
      <c r="K14" s="12">
        <v>2.4500000000000002</v>
      </c>
      <c r="L14" s="12">
        <f>AVERAGE(I14:K14)</f>
        <v>2.4666666666666668</v>
      </c>
      <c r="N14" s="12">
        <v>1</v>
      </c>
      <c r="O14">
        <f t="shared" si="0"/>
        <v>160.10475</v>
      </c>
      <c r="P14">
        <f t="shared" si="1"/>
        <v>9.0726999999999993</v>
      </c>
      <c r="Q14">
        <f t="shared" si="2"/>
        <v>10.188424670829825</v>
      </c>
    </row>
    <row r="15" spans="2:17">
      <c r="B15">
        <v>1505</v>
      </c>
      <c r="C15">
        <v>50</v>
      </c>
      <c r="D15" s="9">
        <v>1.7</v>
      </c>
      <c r="E15" s="11">
        <v>211.5</v>
      </c>
      <c r="H15" s="9">
        <v>0.16500000000000001</v>
      </c>
      <c r="I15" s="12">
        <v>2</v>
      </c>
      <c r="J15" s="12">
        <v>1.95</v>
      </c>
      <c r="K15" s="12">
        <v>1.95</v>
      </c>
      <c r="L15" s="12">
        <f>AVERAGE(I15:K15)</f>
        <v>1.9666666666666668</v>
      </c>
      <c r="N15" s="12">
        <v>1.1000000000000001</v>
      </c>
      <c r="O15">
        <f t="shared" si="0"/>
        <v>170.57970104</v>
      </c>
      <c r="P15">
        <f t="shared" si="1"/>
        <v>9.9177</v>
      </c>
      <c r="Q15">
        <f t="shared" si="2"/>
        <v>9.9301487556318389</v>
      </c>
    </row>
    <row r="16" spans="2:17">
      <c r="B16">
        <v>1505</v>
      </c>
      <c r="C16">
        <v>50</v>
      </c>
      <c r="D16" s="9">
        <v>1.8</v>
      </c>
      <c r="E16" s="11">
        <v>216</v>
      </c>
      <c r="H16" s="9">
        <v>0.15</v>
      </c>
      <c r="I16" s="12">
        <v>1.8</v>
      </c>
      <c r="J16" s="12">
        <v>1.8</v>
      </c>
      <c r="K16" s="12">
        <v>1.85</v>
      </c>
      <c r="L16" s="12">
        <f>AVERAGE(I16:K16)</f>
        <v>1.8166666666666667</v>
      </c>
      <c r="N16" s="12">
        <v>1.2</v>
      </c>
      <c r="O16">
        <f t="shared" si="0"/>
        <v>179.94922303999996</v>
      </c>
      <c r="P16">
        <f t="shared" si="1"/>
        <v>10.762699999999999</v>
      </c>
      <c r="Q16">
        <f t="shared" si="2"/>
        <v>9.6531290812350061</v>
      </c>
    </row>
    <row r="17" spans="2:17">
      <c r="B17">
        <v>1505</v>
      </c>
      <c r="C17">
        <v>50</v>
      </c>
      <c r="D17" s="9">
        <v>1.875</v>
      </c>
      <c r="E17" s="11">
        <v>220.5</v>
      </c>
      <c r="N17" s="12">
        <v>1.3</v>
      </c>
      <c r="O17">
        <f t="shared" si="0"/>
        <v>188.31664794000002</v>
      </c>
      <c r="P17">
        <f t="shared" si="1"/>
        <v>11.607699999999999</v>
      </c>
      <c r="Q17">
        <f t="shared" si="2"/>
        <v>9.3665986699386607</v>
      </c>
    </row>
    <row r="18" spans="2:17">
      <c r="B18">
        <v>1505</v>
      </c>
      <c r="C18">
        <v>50</v>
      </c>
      <c r="D18" s="9">
        <v>2</v>
      </c>
      <c r="E18" s="11">
        <v>225</v>
      </c>
      <c r="H18" s="9"/>
      <c r="I18" s="12"/>
      <c r="J18" s="12"/>
      <c r="K18" s="12"/>
      <c r="L18" s="12"/>
      <c r="N18" s="12">
        <v>1.4</v>
      </c>
      <c r="O18">
        <f t="shared" si="0"/>
        <v>195.78048583999995</v>
      </c>
      <c r="P18">
        <f t="shared" si="1"/>
        <v>12.452699999999998</v>
      </c>
      <c r="Q18">
        <f t="shared" si="2"/>
        <v>9.0770608945690263</v>
      </c>
    </row>
    <row r="19" spans="2:17">
      <c r="B19">
        <v>1505</v>
      </c>
      <c r="C19">
        <v>50</v>
      </c>
      <c r="D19" s="9">
        <v>2.1</v>
      </c>
      <c r="E19" s="11">
        <v>229</v>
      </c>
      <c r="H19" s="9"/>
      <c r="I19" s="12"/>
      <c r="J19" s="12"/>
      <c r="K19" s="12"/>
      <c r="L19" s="12"/>
      <c r="N19" s="12">
        <v>1.5</v>
      </c>
      <c r="O19">
        <f t="shared" si="0"/>
        <v>202.434425</v>
      </c>
      <c r="P19">
        <f t="shared" si="1"/>
        <v>13.297699999999999</v>
      </c>
      <c r="Q19">
        <f t="shared" si="2"/>
        <v>8.7891567539497153</v>
      </c>
    </row>
    <row r="20" spans="2:17">
      <c r="B20">
        <v>1505</v>
      </c>
      <c r="C20">
        <v>50</v>
      </c>
      <c r="D20" s="9">
        <v>2.2149999999999999</v>
      </c>
      <c r="E20" s="11">
        <v>232.5</v>
      </c>
      <c r="H20" s="9"/>
      <c r="I20" s="12"/>
      <c r="J20" s="12"/>
      <c r="K20" s="12"/>
      <c r="L20" s="12"/>
      <c r="N20" s="12">
        <v>1.6</v>
      </c>
      <c r="O20">
        <f t="shared" si="0"/>
        <v>208.36733183999999</v>
      </c>
      <c r="P20">
        <f t="shared" si="1"/>
        <v>14.1427</v>
      </c>
      <c r="Q20">
        <f t="shared" si="2"/>
        <v>8.5062212398020254</v>
      </c>
    </row>
    <row r="21" spans="2:17">
      <c r="B21">
        <v>1505</v>
      </c>
      <c r="C21">
        <v>50</v>
      </c>
      <c r="D21" s="9">
        <v>2.4</v>
      </c>
      <c r="E21" s="11">
        <v>238</v>
      </c>
      <c r="H21" s="9"/>
      <c r="I21" s="12"/>
      <c r="J21" s="12"/>
      <c r="K21" s="12"/>
      <c r="L21" s="12"/>
      <c r="N21" s="12">
        <v>1.7</v>
      </c>
      <c r="O21">
        <f t="shared" si="0"/>
        <v>213.66325094000004</v>
      </c>
      <c r="P21">
        <f t="shared" si="1"/>
        <v>14.987699999999998</v>
      </c>
      <c r="Q21">
        <f t="shared" si="2"/>
        <v>8.2306514973037626</v>
      </c>
    </row>
    <row r="22" spans="2:17">
      <c r="B22">
        <v>1505</v>
      </c>
      <c r="C22">
        <v>50</v>
      </c>
      <c r="D22" s="9">
        <v>2.5150000000000001</v>
      </c>
      <c r="E22" s="11">
        <v>241.5</v>
      </c>
      <c r="H22" s="9"/>
      <c r="I22" s="12"/>
      <c r="J22" s="12"/>
      <c r="K22" s="12"/>
      <c r="L22" s="12"/>
      <c r="N22" s="12">
        <v>1.8</v>
      </c>
      <c r="O22">
        <f t="shared" si="0"/>
        <v>218.40140504000001</v>
      </c>
      <c r="P22">
        <f t="shared" si="1"/>
        <v>15.832699999999999</v>
      </c>
      <c r="Q22">
        <f t="shared" si="2"/>
        <v>7.9641570920459888</v>
      </c>
    </row>
    <row r="23" spans="2:17">
      <c r="B23">
        <v>1505</v>
      </c>
      <c r="C23">
        <v>50</v>
      </c>
      <c r="D23" s="9">
        <v>2.5950000000000002</v>
      </c>
      <c r="E23" s="11">
        <v>244</v>
      </c>
      <c r="H23" s="9"/>
      <c r="I23" s="12"/>
      <c r="J23" s="12"/>
      <c r="K23" s="12"/>
      <c r="L23" s="12"/>
      <c r="N23" s="12">
        <v>1.9</v>
      </c>
      <c r="O23">
        <f t="shared" si="0"/>
        <v>222.65619503999997</v>
      </c>
      <c r="P23">
        <f t="shared" si="1"/>
        <v>16.677699999999994</v>
      </c>
      <c r="Q23">
        <f t="shared" si="2"/>
        <v>7.7079341961470611</v>
      </c>
    </row>
    <row r="24" spans="2:17">
      <c r="B24">
        <v>1505</v>
      </c>
      <c r="C24">
        <v>50</v>
      </c>
      <c r="D24" s="9">
        <v>2.7</v>
      </c>
      <c r="E24" s="11">
        <v>247</v>
      </c>
      <c r="H24" s="9"/>
      <c r="I24" s="12"/>
      <c r="J24" s="12"/>
      <c r="K24" s="12"/>
      <c r="L24" s="12"/>
      <c r="N24" s="12">
        <v>2</v>
      </c>
      <c r="O24">
        <f t="shared" si="0"/>
        <v>226.49719999999999</v>
      </c>
      <c r="P24">
        <f t="shared" si="1"/>
        <v>17.5227</v>
      </c>
      <c r="Q24">
        <f t="shared" si="2"/>
        <v>7.4627893755355341</v>
      </c>
    </row>
    <row r="25" spans="2:17">
      <c r="B25">
        <v>1505</v>
      </c>
      <c r="C25">
        <v>50</v>
      </c>
      <c r="D25" s="9">
        <v>2.86</v>
      </c>
      <c r="E25" s="11">
        <v>250</v>
      </c>
      <c r="H25" s="9"/>
      <c r="I25" s="12"/>
      <c r="J25" s="12"/>
      <c r="K25" s="12"/>
      <c r="L25" s="12"/>
      <c r="N25" s="12">
        <v>2.1</v>
      </c>
      <c r="O25">
        <f t="shared" si="0"/>
        <v>229.98917714000007</v>
      </c>
      <c r="P25">
        <f t="shared" si="1"/>
        <v>18.367699999999999</v>
      </c>
      <c r="Q25">
        <f t="shared" si="2"/>
        <v>7.2292292084735479</v>
      </c>
    </row>
    <row r="26" spans="2:17">
      <c r="B26">
        <v>1505</v>
      </c>
      <c r="C26">
        <v>50</v>
      </c>
      <c r="D26" s="9">
        <v>2.8</v>
      </c>
      <c r="E26" s="11">
        <v>249</v>
      </c>
      <c r="H26" s="9"/>
      <c r="I26" s="12"/>
      <c r="J26" s="12"/>
      <c r="K26" s="12"/>
      <c r="L26" s="12"/>
      <c r="N26" s="12">
        <v>2.2000000000000002</v>
      </c>
      <c r="O26">
        <f t="shared" si="0"/>
        <v>233.19206184000004</v>
      </c>
      <c r="P26">
        <f t="shared" si="1"/>
        <v>19.212699999999998</v>
      </c>
      <c r="Q26">
        <f t="shared" si="2"/>
        <v>7.0075262548318511</v>
      </c>
    </row>
    <row r="27" spans="2:17">
      <c r="B27">
        <v>1505</v>
      </c>
      <c r="C27">
        <v>50</v>
      </c>
      <c r="D27" s="9">
        <v>2.68</v>
      </c>
      <c r="E27" s="11">
        <v>246</v>
      </c>
      <c r="H27" s="9"/>
      <c r="I27" s="12"/>
      <c r="J27" s="12"/>
      <c r="K27" s="12"/>
      <c r="L27" s="12"/>
      <c r="N27" s="12">
        <v>2.2999999999999998</v>
      </c>
      <c r="O27">
        <f t="shared" si="0"/>
        <v>236.16096763999988</v>
      </c>
      <c r="P27">
        <f t="shared" si="1"/>
        <v>20.057699999999997</v>
      </c>
      <c r="Q27">
        <f t="shared" si="2"/>
        <v>6.7977683502613191</v>
      </c>
    </row>
    <row r="28" spans="2:17">
      <c r="B28">
        <v>1505</v>
      </c>
      <c r="C28">
        <v>50</v>
      </c>
      <c r="D28" s="9">
        <v>2.58</v>
      </c>
      <c r="E28" s="11">
        <v>244.5</v>
      </c>
      <c r="H28" s="9"/>
      <c r="I28" s="12"/>
      <c r="J28" s="12"/>
      <c r="K28" s="12"/>
      <c r="L28" s="12"/>
      <c r="N28" s="12">
        <v>2.4</v>
      </c>
      <c r="O28">
        <f t="shared" si="0"/>
        <v>238.94618624</v>
      </c>
      <c r="P28">
        <f t="shared" si="1"/>
        <v>20.902699999999996</v>
      </c>
      <c r="Q28">
        <f t="shared" si="2"/>
        <v>6.5998959439449685</v>
      </c>
    </row>
    <row r="29" spans="2:17">
      <c r="B29">
        <v>1505</v>
      </c>
      <c r="C29">
        <v>50</v>
      </c>
      <c r="D29" s="9">
        <v>2.5</v>
      </c>
      <c r="E29" s="11">
        <v>243</v>
      </c>
      <c r="H29" s="9"/>
      <c r="I29" s="12"/>
      <c r="J29" s="12"/>
      <c r="K29" s="12"/>
      <c r="L29" s="12"/>
      <c r="N29" s="12">
        <v>2.5</v>
      </c>
      <c r="O29">
        <f t="shared" si="0"/>
        <v>241.59318749999997</v>
      </c>
      <c r="P29">
        <f t="shared" si="1"/>
        <v>21.747700000000002</v>
      </c>
      <c r="Q29">
        <f t="shared" si="2"/>
        <v>6.4137307318707126</v>
      </c>
    </row>
    <row r="30" spans="2:17">
      <c r="B30">
        <v>1505</v>
      </c>
      <c r="C30">
        <v>50</v>
      </c>
      <c r="D30" s="9">
        <v>2.38</v>
      </c>
      <c r="E30" s="11">
        <v>240</v>
      </c>
      <c r="H30" s="9"/>
      <c r="I30" s="12"/>
      <c r="J30" s="12"/>
      <c r="K30" s="12"/>
      <c r="L30" s="12"/>
      <c r="N30" s="12">
        <v>2.6</v>
      </c>
      <c r="O30">
        <f t="shared" si="0"/>
        <v>244.14261944000006</v>
      </c>
      <c r="P30">
        <f t="shared" si="1"/>
        <v>22.592700000000001</v>
      </c>
      <c r="Q30">
        <f t="shared" si="2"/>
        <v>6.2389978645467075</v>
      </c>
    </row>
    <row r="31" spans="2:17">
      <c r="B31">
        <v>1500</v>
      </c>
      <c r="C31">
        <v>50</v>
      </c>
      <c r="D31" s="9">
        <v>2.2999999999999998</v>
      </c>
      <c r="E31" s="11">
        <v>236.5</v>
      </c>
      <c r="H31" s="9"/>
      <c r="I31" s="12"/>
      <c r="J31" s="12"/>
      <c r="K31" s="12"/>
      <c r="L31" s="12"/>
      <c r="N31" s="12">
        <v>2.7</v>
      </c>
      <c r="O31">
        <f t="shared" si="0"/>
        <v>246.63030824000001</v>
      </c>
      <c r="P31">
        <f t="shared" si="1"/>
        <v>23.4377</v>
      </c>
      <c r="Q31">
        <f t="shared" si="2"/>
        <v>6.0753433507846069</v>
      </c>
    </row>
    <row r="32" spans="2:17">
      <c r="D32" s="9">
        <v>2.2000000000000002</v>
      </c>
      <c r="E32" s="11">
        <v>235</v>
      </c>
      <c r="H32" s="9"/>
      <c r="I32" s="12"/>
      <c r="J32" s="12"/>
      <c r="K32" s="12"/>
      <c r="L32" s="12"/>
      <c r="N32" s="12">
        <v>2.8</v>
      </c>
      <c r="O32">
        <f t="shared" si="0"/>
        <v>249.0872582399999</v>
      </c>
      <c r="P32">
        <f t="shared" si="1"/>
        <v>24.282699999999998</v>
      </c>
      <c r="Q32">
        <f t="shared" si="2"/>
        <v>5.9223478277361989</v>
      </c>
    </row>
    <row r="33" spans="2:17">
      <c r="D33" s="9">
        <v>2.09</v>
      </c>
      <c r="E33" s="11">
        <v>229.5</v>
      </c>
      <c r="H33" s="9"/>
      <c r="I33" s="12"/>
      <c r="J33" s="12"/>
      <c r="K33" s="12"/>
      <c r="L33" s="12"/>
      <c r="N33" s="12">
        <v>2.9</v>
      </c>
      <c r="O33">
        <f t="shared" si="0"/>
        <v>251.53965194000003</v>
      </c>
      <c r="P33">
        <f t="shared" si="1"/>
        <v>25.127699999999997</v>
      </c>
      <c r="Q33">
        <f t="shared" si="2"/>
        <v>5.7795375525584838</v>
      </c>
    </row>
    <row r="34" spans="2:17">
      <c r="D34" s="9">
        <v>2</v>
      </c>
      <c r="E34" s="11">
        <v>227.5</v>
      </c>
      <c r="H34" s="9"/>
      <c r="I34" s="12"/>
      <c r="J34" s="12"/>
      <c r="K34" s="12"/>
      <c r="L34" s="12"/>
      <c r="N34" s="12">
        <v>3</v>
      </c>
      <c r="O34">
        <f t="shared" si="0"/>
        <v>254.00884999999997</v>
      </c>
      <c r="P34">
        <f t="shared" si="1"/>
        <v>25.972699999999996</v>
      </c>
      <c r="Q34">
        <f t="shared" si="2"/>
        <v>5.6463932484511536</v>
      </c>
    </row>
    <row r="35" spans="2:17">
      <c r="D35" s="9">
        <v>1.91</v>
      </c>
      <c r="E35" s="11">
        <v>223.5</v>
      </c>
      <c r="H35" s="9"/>
      <c r="I35" s="12"/>
      <c r="J35" s="12"/>
      <c r="K35" s="12"/>
      <c r="L35" s="12"/>
      <c r="N35" s="12"/>
    </row>
    <row r="36" spans="2:17">
      <c r="B36" s="15"/>
      <c r="C36" s="15"/>
      <c r="D36" s="16">
        <v>1.8</v>
      </c>
      <c r="E36" s="17">
        <v>219</v>
      </c>
      <c r="H36" s="9"/>
      <c r="I36" s="12"/>
      <c r="J36" s="12"/>
      <c r="K36" s="12"/>
      <c r="L36" s="12"/>
      <c r="N36" s="12"/>
    </row>
    <row r="37" spans="2:17">
      <c r="B37" s="15"/>
      <c r="C37" s="15"/>
      <c r="D37" s="16">
        <v>1.7150000000000001</v>
      </c>
      <c r="E37" s="17">
        <v>216</v>
      </c>
      <c r="H37" s="9"/>
      <c r="I37" s="12"/>
      <c r="J37" s="12"/>
      <c r="K37" s="12"/>
      <c r="L37" s="12"/>
      <c r="N37" s="12"/>
    </row>
    <row r="38" spans="2:17">
      <c r="B38" s="15"/>
      <c r="C38" s="15"/>
      <c r="D38" s="16">
        <v>1.6</v>
      </c>
      <c r="E38" s="17">
        <v>210</v>
      </c>
      <c r="H38" s="9"/>
      <c r="I38" s="12"/>
      <c r="J38" s="12"/>
      <c r="K38" s="12"/>
      <c r="L38" s="12"/>
      <c r="N38" s="12"/>
    </row>
    <row r="39" spans="2:17">
      <c r="B39" s="15"/>
      <c r="C39" s="15"/>
      <c r="D39" s="16">
        <v>1.5</v>
      </c>
      <c r="E39" s="17">
        <v>205.5</v>
      </c>
      <c r="H39" s="9"/>
      <c r="I39" s="12"/>
      <c r="J39" s="12"/>
      <c r="K39" s="12"/>
      <c r="L39" s="12"/>
      <c r="N39" s="12"/>
    </row>
    <row r="40" spans="2:17">
      <c r="B40" s="15"/>
      <c r="C40" s="15"/>
      <c r="D40" s="16">
        <v>1.4</v>
      </c>
      <c r="E40" s="17">
        <v>198.5</v>
      </c>
      <c r="H40" s="9"/>
      <c r="I40" s="12"/>
      <c r="J40" s="12"/>
      <c r="K40" s="12"/>
      <c r="L40" s="12"/>
      <c r="N40" s="12"/>
    </row>
    <row r="41" spans="2:17">
      <c r="B41" s="15"/>
      <c r="C41" s="15"/>
      <c r="D41" s="16">
        <v>1.29</v>
      </c>
      <c r="E41" s="17">
        <v>192</v>
      </c>
      <c r="H41" s="9"/>
      <c r="I41" s="12"/>
      <c r="J41" s="12"/>
      <c r="K41" s="12"/>
      <c r="L41" s="12"/>
      <c r="N41" s="12"/>
    </row>
    <row r="42" spans="2:17">
      <c r="B42" s="15"/>
      <c r="C42" s="15"/>
      <c r="D42" s="16">
        <v>1.19</v>
      </c>
      <c r="E42" s="17">
        <v>183</v>
      </c>
      <c r="H42" s="9"/>
      <c r="I42" s="12"/>
      <c r="J42" s="12"/>
      <c r="K42" s="12"/>
      <c r="L42" s="12"/>
      <c r="N42" s="12"/>
    </row>
    <row r="43" spans="2:17">
      <c r="B43" s="15"/>
      <c r="C43" s="15"/>
      <c r="D43" s="16">
        <v>1.1000000000000001</v>
      </c>
      <c r="E43" s="17">
        <v>175.5</v>
      </c>
      <c r="H43" s="9"/>
      <c r="I43" s="12"/>
      <c r="J43" s="12"/>
      <c r="K43" s="12"/>
      <c r="L43" s="12"/>
      <c r="N43" s="12"/>
    </row>
    <row r="44" spans="2:17">
      <c r="B44" s="15"/>
      <c r="C44" s="15"/>
      <c r="D44" s="16">
        <v>1</v>
      </c>
      <c r="E44" s="17">
        <v>164</v>
      </c>
      <c r="H44" s="9"/>
      <c r="I44" s="12"/>
      <c r="J44" s="12"/>
      <c r="K44" s="12"/>
      <c r="L44" s="12"/>
      <c r="N44" s="12"/>
    </row>
    <row r="45" spans="2:17">
      <c r="B45" s="15"/>
      <c r="C45" s="15"/>
      <c r="D45" s="16">
        <v>0.9</v>
      </c>
      <c r="E45" s="17">
        <v>151.5</v>
      </c>
      <c r="H45" s="9"/>
      <c r="I45" s="12"/>
      <c r="J45" s="12"/>
      <c r="K45" s="12"/>
      <c r="L45" s="12"/>
    </row>
    <row r="46" spans="2:17">
      <c r="B46" s="15"/>
      <c r="C46" s="15"/>
      <c r="D46" s="16">
        <v>0.8</v>
      </c>
      <c r="E46" s="17">
        <v>137</v>
      </c>
      <c r="H46" s="9"/>
      <c r="I46" s="12"/>
      <c r="J46" s="12"/>
      <c r="K46" s="12"/>
      <c r="L46" s="12"/>
    </row>
    <row r="47" spans="2:17">
      <c r="B47" s="15"/>
      <c r="C47" s="15"/>
      <c r="D47" s="16">
        <v>0.7</v>
      </c>
      <c r="E47" s="17">
        <v>122.5</v>
      </c>
      <c r="H47" s="9"/>
      <c r="I47" s="12"/>
      <c r="J47" s="12"/>
      <c r="K47" s="12"/>
      <c r="L47" s="12"/>
    </row>
    <row r="48" spans="2:17">
      <c r="B48" s="15"/>
      <c r="C48" s="15"/>
      <c r="D48" s="16">
        <v>0.63</v>
      </c>
      <c r="E48" s="17">
        <v>114</v>
      </c>
      <c r="H48" s="9"/>
      <c r="I48" s="12"/>
      <c r="J48" s="12"/>
      <c r="K48" s="12"/>
      <c r="L48" s="12"/>
    </row>
    <row r="49" spans="2:5">
      <c r="B49" s="15"/>
      <c r="C49" s="15"/>
      <c r="D49" s="16"/>
      <c r="E49" s="17"/>
    </row>
    <row r="50" spans="2:5">
      <c r="B50" s="15"/>
      <c r="C50" s="15"/>
      <c r="D50" s="16"/>
      <c r="E50" s="17"/>
    </row>
    <row r="51" spans="2:5">
      <c r="B51" s="15"/>
      <c r="C51" s="15"/>
      <c r="D51" s="16"/>
      <c r="E51" s="17"/>
    </row>
    <row r="52" spans="2:5">
      <c r="B52" s="15"/>
      <c r="C52" s="15"/>
      <c r="D52" s="16"/>
      <c r="E52" s="17"/>
    </row>
    <row r="53" spans="2:5">
      <c r="B53" s="10"/>
      <c r="C53" s="10"/>
      <c r="D53" s="13"/>
      <c r="E53" s="14"/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835DD-A1C9-BD4B-9DBF-35E9C6E6B47F}">
  <dimension ref="A1"/>
  <sheetViews>
    <sheetView workbookViewId="0"/>
  </sheetViews>
  <sheetFormatPr baseColWidth="10" defaultRowHeight="20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同期発電機の実負荷試験</vt:lpstr>
      <vt:lpstr>同期発電機の無負荷試験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SatoTakumi</dc:creator>
  <cp:lastModifiedBy>SatoTakumi</cp:lastModifiedBy>
  <dcterms:created xsi:type="dcterms:W3CDTF">2026-06-12T06:46:26Z</dcterms:created>
  <dcterms:modified xsi:type="dcterms:W3CDTF">2026-06-19T08:15:09Z</dcterms:modified>
</cp:coreProperties>
</file>