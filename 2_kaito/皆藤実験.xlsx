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kumi/Downloads/"/>
    </mc:Choice>
  </mc:AlternateContent>
  <xr:revisionPtr revIDLastSave="0" documentId="13_ncr:1_{DD79E51C-1F9B-384F-9C63-DDA3E6A7F472}" xr6:coauthVersionLast="47" xr6:coauthVersionMax="47" xr10:uidLastSave="{00000000-0000-0000-0000-000000000000}"/>
  <bookViews>
    <workbookView xWindow="24000" yWindow="1500" windowWidth="30320" windowHeight="20320" activeTab="2" xr2:uid="{D6BD0E28-90F6-BA44-8F44-AC6BBBE1DE30}"/>
  </bookViews>
  <sheets>
    <sheet name="LC" sheetId="1" r:id="rId1"/>
    <sheet name="WB発振 ボード線図" sheetId="2" r:id="rId2"/>
    <sheet name="WB発振　可変抵抗を変えて発振周波数求める" sheetId="3" r:id="rId3"/>
    <sheet name="Sheet2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5" i="3" l="1"/>
  <c r="I13" i="3"/>
  <c r="H15" i="3"/>
  <c r="G13" i="3"/>
  <c r="G4" i="3"/>
  <c r="G3" i="3"/>
  <c r="D31" i="2"/>
  <c r="G28" i="2"/>
  <c r="G29" i="2"/>
  <c r="G26" i="2"/>
  <c r="G27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3" i="2"/>
  <c r="F14" i="1"/>
  <c r="F13" i="1"/>
  <c r="F15" i="1"/>
  <c r="F16" i="1"/>
  <c r="F17" i="1"/>
  <c r="F12" i="1"/>
  <c r="F7" i="1"/>
  <c r="K4" i="1"/>
  <c r="K5" i="1"/>
  <c r="K6" i="1"/>
  <c r="K7" i="1"/>
  <c r="K8" i="1"/>
  <c r="K3" i="1"/>
  <c r="M8" i="1"/>
  <c r="O8" i="1" s="1"/>
  <c r="M7" i="1"/>
  <c r="O7" i="1" s="1"/>
  <c r="M6" i="1"/>
  <c r="O6" i="1" s="1"/>
  <c r="M5" i="1"/>
  <c r="O5" i="1" s="1"/>
  <c r="M4" i="1"/>
  <c r="O4" i="1" s="1"/>
  <c r="M3" i="1"/>
  <c r="O3" i="1" s="1"/>
  <c r="F6" i="1"/>
  <c r="D13" i="1"/>
  <c r="D14" i="1"/>
  <c r="D15" i="1"/>
  <c r="D16" i="1"/>
  <c r="D17" i="1"/>
  <c r="D12" i="1"/>
  <c r="D4" i="1"/>
  <c r="F4" i="1" s="1"/>
  <c r="D5" i="1"/>
  <c r="F5" i="1" s="1"/>
  <c r="D6" i="1"/>
  <c r="D7" i="1"/>
  <c r="D8" i="1"/>
  <c r="F8" i="1" s="1"/>
  <c r="D3" i="1"/>
  <c r="F3" i="1" s="1"/>
</calcChain>
</file>

<file path=xl/sharedStrings.xml><?xml version="1.0" encoding="utf-8"?>
<sst xmlns="http://schemas.openxmlformats.org/spreadsheetml/2006/main" count="56" uniqueCount="40">
  <si>
    <t>L [μH]</t>
    <phoneticPr fontId="1"/>
  </si>
  <si>
    <t>C2 [pF]</t>
    <phoneticPr fontId="1"/>
  </si>
  <si>
    <t>共振周波数(計算) [kHz]</t>
    <rPh sb="0" eb="5">
      <t>キョウシｎン</t>
    </rPh>
    <rPh sb="6" eb="8">
      <t>ケイサｎン</t>
    </rPh>
    <phoneticPr fontId="1"/>
  </si>
  <si>
    <t>C3 [pF]</t>
    <phoneticPr fontId="1"/>
  </si>
  <si>
    <t>hartlay</t>
    <phoneticPr fontId="1"/>
  </si>
  <si>
    <t>共振周波数(実測) [kHz]</t>
    <rPh sb="0" eb="5">
      <t>キョウシｎン</t>
    </rPh>
    <rPh sb="6" eb="8">
      <t>ジッソｋウ</t>
    </rPh>
    <phoneticPr fontId="1"/>
  </si>
  <si>
    <t>共振周波数(実測) [MHz]</t>
    <rPh sb="0" eb="5">
      <t>キョウシｎン</t>
    </rPh>
    <rPh sb="6" eb="8">
      <t>ジッソｋウ</t>
    </rPh>
    <phoneticPr fontId="1"/>
  </si>
  <si>
    <t>colpitts</t>
    <phoneticPr fontId="1"/>
  </si>
  <si>
    <t>発振電圧 [V]</t>
    <rPh sb="0" eb="4">
      <t>ハッシンｄエ</t>
    </rPh>
    <phoneticPr fontId="1"/>
  </si>
  <si>
    <t>誤差率</t>
    <rPh sb="0" eb="3">
      <t>ゴサｒイ</t>
    </rPh>
    <phoneticPr fontId="1"/>
  </si>
  <si>
    <t>open</t>
    <phoneticPr fontId="1"/>
  </si>
  <si>
    <t>実効値 [V]</t>
    <rPh sb="0" eb="3">
      <t>ジッコウ</t>
    </rPh>
    <phoneticPr fontId="1"/>
  </si>
  <si>
    <t>誤差率 [%]</t>
    <rPh sb="0" eb="3">
      <t>ゴサｒイ</t>
    </rPh>
    <phoneticPr fontId="1"/>
  </si>
  <si>
    <t>1.116 MHz</t>
    <phoneticPr fontId="1"/>
  </si>
  <si>
    <t>補正用</t>
    <rPh sb="0" eb="2">
      <t>ホセイｙオ</t>
    </rPh>
    <rPh sb="2" eb="3">
      <t xml:space="preserve">ヨウ </t>
    </rPh>
    <phoneticPr fontId="1"/>
  </si>
  <si>
    <t>発振せず</t>
    <rPh sb="0" eb="2">
      <t>ハッシｎン</t>
    </rPh>
    <phoneticPr fontId="1"/>
  </si>
  <si>
    <t>周波数 [Hz]</t>
    <rPh sb="0" eb="3">
      <t>シュウハスウ</t>
    </rPh>
    <phoneticPr fontId="1"/>
  </si>
  <si>
    <t>帰還率β</t>
    <rPh sb="0" eb="3">
      <t>キカｎン</t>
    </rPh>
    <phoneticPr fontId="1"/>
  </si>
  <si>
    <t>位相差 argβ [°]</t>
    <rPh sb="0" eb="3">
      <t>イソウ</t>
    </rPh>
    <phoneticPr fontId="1"/>
  </si>
  <si>
    <t>入力電圧実効値 [V]</t>
    <rPh sb="0" eb="4">
      <t>ニュウリョｋウ</t>
    </rPh>
    <rPh sb="4" eb="7">
      <t>ジッコウ</t>
    </rPh>
    <phoneticPr fontId="1"/>
  </si>
  <si>
    <t>出力電圧実効値 [V]</t>
    <rPh sb="0" eb="4">
      <t>シュｔウ</t>
    </rPh>
    <rPh sb="4" eb="7">
      <t>ジッコウ</t>
    </rPh>
    <phoneticPr fontId="1"/>
  </si>
  <si>
    <t>入力電圧P-P [V]</t>
    <rPh sb="0" eb="4">
      <t>ニュウリョｋウ</t>
    </rPh>
    <phoneticPr fontId="1"/>
  </si>
  <si>
    <t>出力電圧P-P [V]</t>
    <rPh sb="0" eb="2">
      <t>シュｔウ</t>
    </rPh>
    <rPh sb="2" eb="4">
      <t>ニュウリョｋウ</t>
    </rPh>
    <phoneticPr fontId="1"/>
  </si>
  <si>
    <t>位相が0になったところとの誤差率</t>
    <rPh sb="0" eb="2">
      <t>イソウ</t>
    </rPh>
    <rPh sb="13" eb="15">
      <t>ゴサル</t>
    </rPh>
    <rPh sb="15" eb="16">
      <t xml:space="preserve">リツ </t>
    </rPh>
    <phoneticPr fontId="1"/>
  </si>
  <si>
    <t>可変抵抗 R4 [Ω]</t>
    <rPh sb="0" eb="4">
      <t>カヘｎン</t>
    </rPh>
    <phoneticPr fontId="1"/>
  </si>
  <si>
    <t>電圧増幅度A 理論値</t>
    <rPh sb="0" eb="5">
      <t>デンアツゾウフ</t>
    </rPh>
    <rPh sb="7" eb="10">
      <t>リロｎン</t>
    </rPh>
    <phoneticPr fontId="1"/>
  </si>
  <si>
    <t>発振を開始した周波数 [kHz]</t>
    <rPh sb="0" eb="2">
      <t>ハッシｎン</t>
    </rPh>
    <rPh sb="3" eb="5">
      <t>カイシス</t>
    </rPh>
    <rPh sb="7" eb="10">
      <t>シュウｈア</t>
    </rPh>
    <phoneticPr fontId="1"/>
  </si>
  <si>
    <t>入力電圧実効値 [V]</t>
    <rPh sb="0" eb="2">
      <t>ニュウリョｋウ</t>
    </rPh>
    <rPh sb="2" eb="4">
      <t>シュｔウ</t>
    </rPh>
    <rPh sb="4" eb="7">
      <t>ジッコウ</t>
    </rPh>
    <phoneticPr fontId="1"/>
  </si>
  <si>
    <t>発振周波数理論値</t>
    <rPh sb="0" eb="5">
      <t>ハッシｎン</t>
    </rPh>
    <rPh sb="5" eb="8">
      <t>リロｎン</t>
    </rPh>
    <phoneticPr fontId="1"/>
  </si>
  <si>
    <t>20.36k</t>
    <phoneticPr fontId="1"/>
  </si>
  <si>
    <t>増幅率A</t>
    <rPh sb="0" eb="3">
      <t>ゾウフｋウ</t>
    </rPh>
    <phoneticPr fontId="1"/>
  </si>
  <si>
    <t>帰還率β</t>
    <phoneticPr fontId="1"/>
  </si>
  <si>
    <t>増幅率*帰還率</t>
    <rPh sb="0" eb="3">
      <t>ゾウフｋウ</t>
    </rPh>
    <rPh sb="4" eb="7">
      <t>キカｎン</t>
    </rPh>
    <phoneticPr fontId="1"/>
  </si>
  <si>
    <t>真値を一とする時</t>
    <rPh sb="0" eb="2">
      <t xml:space="preserve">シンチ </t>
    </rPh>
    <rPh sb="3" eb="4">
      <t>1ｔオ</t>
    </rPh>
    <rPh sb="7" eb="8">
      <t xml:space="preserve">トキ </t>
    </rPh>
    <phoneticPr fontId="1"/>
  </si>
  <si>
    <t>増幅率誤差率 [%]</t>
    <rPh sb="0" eb="3">
      <t>ゾウフｋウ</t>
    </rPh>
    <rPh sb="3" eb="5">
      <t>ゴサリｔウ</t>
    </rPh>
    <rPh sb="5" eb="6">
      <t xml:space="preserve">リツ </t>
    </rPh>
    <phoneticPr fontId="1"/>
  </si>
  <si>
    <t>増幅率*帰還率　誤差率 [%]</t>
    <rPh sb="10" eb="11">
      <t>リツ</t>
    </rPh>
    <phoneticPr fontId="1"/>
  </si>
  <si>
    <t xml:space="preserve">8/7提出
# 目的
プリントの内容
# 原理
課題に出したやつ
発振の条件
フィードバックのブロック図から
(2)
トランジスタ増幅回路の電圧増幅率
エミッタ設置
直流、交流回路、Hパラメーターを用いた交流回路に変換していく
電圧増幅率を求める
ループをしっかり書いて向きを
2
ベース接地でも同様に解析
（3）
ウィーンブリッジ発振回路
回路をしっかり書いてから
1. ターマン型の帰還率(4)しきを導く
2. 平衡条件から発進条件を求める
元の回路から増幅率を書かなきゃいけない
# 実験回路、実験結果、検討
(1) ハートレーがた発振回路
結果はまず表で
理論値と比較
オープンでも発振したこと、Cを変えていくと
オープンで発振したことからCがあるはずだということでキャパしタンスを求めて、
候補を２つ出して
その容量が元々あると仮定して補正する
(2) コルピッツ発振回路
回路ず
結果
検討
オープンにしても発進しなかった
同じ条件でCが含まれているはず
(3)ウィーンブリッジ発振秋ろ
1. ターマン帰還回路のボード線図
グラフで表現
グラフの中に位相が0の時のデータを示す
理論値との比較検討
2. ウィーンブリッジ発振回路
回路使いて
実験結果
データと平均値を出して発振周波数がいくつかを書く
比較検討、
抵抗、増幅率の測定結果と理論値との検討
8/7提出
# 目的
プリントの内容
# 原理
課題に出したやつ
発振の条件
フィードバックのブロック図から
(2)
トランジスタ増幅回路の電圧増幅率
エミッタ設置
直流、交流回路、Hパラメーターを用いた交流回路に変換していく
電圧増幅率を求める
ループをしっかり書いて向きを
2
ベース接地でも同様に解析
（3）
ウィーンブリッジ発振回路
回路をしっかり書いてから
1. ターマン型の帰還率(4)しきを導く
2. 平衡条件から発進条件を求める
元の回路から増幅率を書かなきゃいけない
# 実験回路、実験結果、検討
(1) ハートレーがた発振回路
結果はまず表で
理論値と比較
オープンでも発振したこと、Cを変えていくと
オープンで発振したことからCがあるはずだということでキャパしタンスを求めて、
候補を２つ出して
その容量が元々あると仮定して補正する
(2) コルピッツ発振回路
回路ず
結果
検討
オープンにしても発進しなかった
同じ条件でCが含まれているはず
(3)ウィーンブリッジ発振秋ろ
1. ターマン帰還回路のボード線図
グラフで表現
グラフの中に位相が0の時のデータを示す
理論値との比較検討
2. ウィーンブリッジ発振回路
回路使いて
実験結果
データと平均値を出して発振周波数がいくつかを書く
比較検討、
抵抗、増幅率の測定結果と理論値との検討
</t>
    <phoneticPr fontId="1"/>
  </si>
  <si>
    <t>共振周波数(理論値) [kHz]</t>
    <rPh sb="0" eb="5">
      <t>キョウシｎン</t>
    </rPh>
    <rPh sb="6" eb="9">
      <t>リロｎン</t>
    </rPh>
    <phoneticPr fontId="1"/>
  </si>
  <si>
    <t>共振周波数(理論値) [MHz]</t>
    <rPh sb="0" eb="5">
      <t>キョウシｎン</t>
    </rPh>
    <rPh sb="6" eb="9">
      <t>リロｎン</t>
    </rPh>
    <phoneticPr fontId="1"/>
  </si>
  <si>
    <t>周波数の誤差率</t>
    <rPh sb="0" eb="3">
      <t>シュウｈア</t>
    </rPh>
    <rPh sb="6" eb="7">
      <t xml:space="preserve">リツ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</si>
</sst>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00"/>
  </numFmts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0" tint="-0.1499984740745262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176" fontId="0" fillId="0" borderId="0" xfId="0" applyNumberFormat="1">
      <alignment vertical="center"/>
    </xf>
    <xf numFmtId="1" fontId="0" fillId="0" borderId="0" xfId="0" applyNumberFormat="1">
      <alignment vertical="center"/>
    </xf>
    <xf numFmtId="2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'WB発振 ボード線図'!$G$2</c:f>
              <c:strCache>
                <c:ptCount val="1"/>
                <c:pt idx="0">
                  <c:v>帰還率β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'WB発振 ボード線図'!$B$3:$B$29</c:f>
              <c:numCache>
                <c:formatCode>0</c:formatCode>
                <c:ptCount val="27"/>
                <c:pt idx="0">
                  <c:v>100</c:v>
                </c:pt>
                <c:pt idx="1">
                  <c:v>138.6918856530028</c:v>
                </c:pt>
                <c:pt idx="2">
                  <c:v>192.354391459856</c:v>
                </c:pt>
                <c:pt idx="3">
                  <c:v>266.77993265203281</c:v>
                </c:pt>
                <c:pt idx="4">
                  <c:v>370.00211913891519</c:v>
                </c:pt>
                <c:pt idx="5">
                  <c:v>513.16291598983139</c:v>
                </c:pt>
                <c:pt idx="6">
                  <c:v>711.71532465823168</c:v>
                </c:pt>
                <c:pt idx="7">
                  <c:v>987.09140424989243</c:v>
                </c:pt>
                <c:pt idx="8">
                  <c:v>1369.0156816728797</c:v>
                </c:pt>
                <c:pt idx="9">
                  <c:v>1898.713663797427</c:v>
                </c:pt>
                <c:pt idx="10">
                  <c:v>2633.3617834718675</c:v>
                </c:pt>
                <c:pt idx="11">
                  <c:v>3652.2591135626781</c:v>
                </c:pt>
                <c:pt idx="12">
                  <c:v>5065.3870335337224</c:v>
                </c:pt>
                <c:pt idx="13">
                  <c:v>7025.2807924306207</c:v>
                </c:pt>
                <c:pt idx="14">
                  <c:v>9743.4944034402433</c:v>
                </c:pt>
                <c:pt idx="15">
                  <c:v>13513.436116626068</c:v>
                </c:pt>
                <c:pt idx="16">
                  <c:v>18742.039366662601</c:v>
                </c:pt>
                <c:pt idx="17">
                  <c:v>25993.687807452476</c:v>
                </c:pt>
                <c:pt idx="18">
                  <c:v>36051.135770910478</c:v>
                </c:pt>
                <c:pt idx="19">
                  <c:v>50000</c:v>
                </c:pt>
                <c:pt idx="20" formatCode="General">
                  <c:v>3000</c:v>
                </c:pt>
                <c:pt idx="21" formatCode="General">
                  <c:v>3100</c:v>
                </c:pt>
                <c:pt idx="22" formatCode="General">
                  <c:v>3200</c:v>
                </c:pt>
                <c:pt idx="23" formatCode="General">
                  <c:v>3300</c:v>
                </c:pt>
                <c:pt idx="24" formatCode="General">
                  <c:v>3400</c:v>
                </c:pt>
                <c:pt idx="25" formatCode="General">
                  <c:v>3500</c:v>
                </c:pt>
                <c:pt idx="26" formatCode="General">
                  <c:v>3344</c:v>
                </c:pt>
              </c:numCache>
            </c:numRef>
          </c:xVal>
          <c:yVal>
            <c:numRef>
              <c:f>'WB発振 ボード線図'!$G$3:$G$29</c:f>
              <c:numCache>
                <c:formatCode>0.000</c:formatCode>
                <c:ptCount val="27"/>
                <c:pt idx="0">
                  <c:v>2.9840546697038724E-2</c:v>
                </c:pt>
                <c:pt idx="1">
                  <c:v>3.9933073061907416E-2</c:v>
                </c:pt>
                <c:pt idx="2">
                  <c:v>5.8415268941584733E-2</c:v>
                </c:pt>
                <c:pt idx="3">
                  <c:v>7.8409090909090914E-2</c:v>
                </c:pt>
                <c:pt idx="4">
                  <c:v>9.9450549450549444E-2</c:v>
                </c:pt>
                <c:pt idx="5">
                  <c:v>0.13932394366197184</c:v>
                </c:pt>
                <c:pt idx="6">
                  <c:v>0.17887640449438202</c:v>
                </c:pt>
                <c:pt idx="7">
                  <c:v>0.23152542372881355</c:v>
                </c:pt>
                <c:pt idx="8">
                  <c:v>0.27108092812676854</c:v>
                </c:pt>
                <c:pt idx="9">
                  <c:v>0.30671806167400884</c:v>
                </c:pt>
                <c:pt idx="10">
                  <c:v>0.32131147540983601</c:v>
                </c:pt>
                <c:pt idx="11">
                  <c:v>0.32237600922722032</c:v>
                </c:pt>
                <c:pt idx="12">
                  <c:v>0.30963045912653975</c:v>
                </c:pt>
                <c:pt idx="13">
                  <c:v>0.28050847457627121</c:v>
                </c:pt>
                <c:pt idx="14">
                  <c:v>0.24672268907563027</c:v>
                </c:pt>
                <c:pt idx="15">
                  <c:v>0.19864940911648846</c:v>
                </c:pt>
                <c:pt idx="16">
                  <c:v>0.15869318181818182</c:v>
                </c:pt>
                <c:pt idx="17">
                  <c:v>0.12050256996002284</c:v>
                </c:pt>
                <c:pt idx="18">
                  <c:v>8.2956425813568671E-2</c:v>
                </c:pt>
                <c:pt idx="19">
                  <c:v>6.3492063492063489E-2</c:v>
                </c:pt>
                <c:pt idx="20">
                  <c:v>0.32307280513918629</c:v>
                </c:pt>
                <c:pt idx="21">
                  <c:v>0.32308522114347354</c:v>
                </c:pt>
                <c:pt idx="22">
                  <c:v>0.32314410480349343</c:v>
                </c:pt>
                <c:pt idx="23">
                  <c:v>0.32263420033204204</c:v>
                </c:pt>
                <c:pt idx="24">
                  <c:v>0.32429378531073444</c:v>
                </c:pt>
                <c:pt idx="25">
                  <c:v>0.32289293849658313</c:v>
                </c:pt>
                <c:pt idx="26">
                  <c:v>0.32256267409470751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F4-D345-AF4D-6D9E143533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2102143"/>
        <c:axId val="962103935"/>
      </c:scatterChart>
      <c:scatterChart>
        <c:scatterStyle val="lineMarker"/>
        <c:varyColors val="0"/>
        <c:ser>
          <c:idx val="1"/>
          <c:order val="1"/>
          <c:tx>
            <c:strRef>
              <c:f>'WB発振 ボード線図'!$H$2</c:f>
              <c:strCache>
                <c:ptCount val="1"/>
                <c:pt idx="0">
                  <c:v>位相差 argβ [°]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'WB発振 ボード線図'!$B$3:$B$29</c:f>
              <c:numCache>
                <c:formatCode>0</c:formatCode>
                <c:ptCount val="27"/>
                <c:pt idx="0">
                  <c:v>100</c:v>
                </c:pt>
                <c:pt idx="1">
                  <c:v>138.6918856530028</c:v>
                </c:pt>
                <c:pt idx="2">
                  <c:v>192.354391459856</c:v>
                </c:pt>
                <c:pt idx="3">
                  <c:v>266.77993265203281</c:v>
                </c:pt>
                <c:pt idx="4">
                  <c:v>370.00211913891519</c:v>
                </c:pt>
                <c:pt idx="5">
                  <c:v>513.16291598983139</c:v>
                </c:pt>
                <c:pt idx="6">
                  <c:v>711.71532465823168</c:v>
                </c:pt>
                <c:pt idx="7">
                  <c:v>987.09140424989243</c:v>
                </c:pt>
                <c:pt idx="8">
                  <c:v>1369.0156816728797</c:v>
                </c:pt>
                <c:pt idx="9">
                  <c:v>1898.713663797427</c:v>
                </c:pt>
                <c:pt idx="10">
                  <c:v>2633.3617834718675</c:v>
                </c:pt>
                <c:pt idx="11">
                  <c:v>3652.2591135626781</c:v>
                </c:pt>
                <c:pt idx="12">
                  <c:v>5065.3870335337224</c:v>
                </c:pt>
                <c:pt idx="13">
                  <c:v>7025.2807924306207</c:v>
                </c:pt>
                <c:pt idx="14">
                  <c:v>9743.4944034402433</c:v>
                </c:pt>
                <c:pt idx="15">
                  <c:v>13513.436116626068</c:v>
                </c:pt>
                <c:pt idx="16">
                  <c:v>18742.039366662601</c:v>
                </c:pt>
                <c:pt idx="17">
                  <c:v>25993.687807452476</c:v>
                </c:pt>
                <c:pt idx="18">
                  <c:v>36051.135770910478</c:v>
                </c:pt>
                <c:pt idx="19">
                  <c:v>50000</c:v>
                </c:pt>
                <c:pt idx="20" formatCode="General">
                  <c:v>3000</c:v>
                </c:pt>
                <c:pt idx="21" formatCode="General">
                  <c:v>3100</c:v>
                </c:pt>
                <c:pt idx="22" formatCode="General">
                  <c:v>3200</c:v>
                </c:pt>
                <c:pt idx="23" formatCode="General">
                  <c:v>3300</c:v>
                </c:pt>
                <c:pt idx="24" formatCode="General">
                  <c:v>3400</c:v>
                </c:pt>
                <c:pt idx="25" formatCode="General">
                  <c:v>3500</c:v>
                </c:pt>
                <c:pt idx="26" formatCode="General">
                  <c:v>3344</c:v>
                </c:pt>
              </c:numCache>
            </c:numRef>
          </c:xVal>
          <c:yVal>
            <c:numRef>
              <c:f>'WB発振 ボード線図'!$H$3:$H$29</c:f>
              <c:numCache>
                <c:formatCode>General</c:formatCode>
                <c:ptCount val="27"/>
                <c:pt idx="0">
                  <c:v>86</c:v>
                </c:pt>
                <c:pt idx="1">
                  <c:v>83</c:v>
                </c:pt>
                <c:pt idx="2">
                  <c:v>80</c:v>
                </c:pt>
                <c:pt idx="3">
                  <c:v>75</c:v>
                </c:pt>
                <c:pt idx="4" formatCode="0">
                  <c:v>70</c:v>
                </c:pt>
                <c:pt idx="5">
                  <c:v>63</c:v>
                </c:pt>
                <c:pt idx="6" formatCode="0">
                  <c:v>54</c:v>
                </c:pt>
                <c:pt idx="7" formatCode="0">
                  <c:v>45</c:v>
                </c:pt>
                <c:pt idx="8" formatCode="0">
                  <c:v>32</c:v>
                </c:pt>
                <c:pt idx="9" formatCode="0">
                  <c:v>19</c:v>
                </c:pt>
                <c:pt idx="10" formatCode="0">
                  <c:v>8</c:v>
                </c:pt>
                <c:pt idx="11" formatCode="0.0">
                  <c:v>-4.5</c:v>
                </c:pt>
                <c:pt idx="12" formatCode="0">
                  <c:v>-16</c:v>
                </c:pt>
                <c:pt idx="13" formatCode="0">
                  <c:v>-29</c:v>
                </c:pt>
                <c:pt idx="14" formatCode="0">
                  <c:v>-40</c:v>
                </c:pt>
                <c:pt idx="15" formatCode="0">
                  <c:v>-51</c:v>
                </c:pt>
                <c:pt idx="16" formatCode="0">
                  <c:v>-59</c:v>
                </c:pt>
                <c:pt idx="17" formatCode="0">
                  <c:v>-66</c:v>
                </c:pt>
                <c:pt idx="18" formatCode="0">
                  <c:v>-71</c:v>
                </c:pt>
                <c:pt idx="19" formatCode="0">
                  <c:v>-74</c:v>
                </c:pt>
                <c:pt idx="20" formatCode="0">
                  <c:v>2</c:v>
                </c:pt>
                <c:pt idx="21" formatCode="0">
                  <c:v>2</c:v>
                </c:pt>
                <c:pt idx="22" formatCode="0">
                  <c:v>1</c:v>
                </c:pt>
                <c:pt idx="23" formatCode="0">
                  <c:v>0</c:v>
                </c:pt>
                <c:pt idx="24" formatCode="0">
                  <c:v>-1</c:v>
                </c:pt>
                <c:pt idx="25" formatCode="0">
                  <c:v>-2</c:v>
                </c:pt>
                <c:pt idx="26" formatCode="0.0">
                  <c:v>-0.5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BF4-D345-AF4D-6D9E143533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9694143"/>
        <c:axId val="959704895"/>
      </c:scatterChart>
      <c:valAx>
        <c:axId val="962102143"/>
        <c:scaling>
          <c:logBase val="10"/>
          <c:orientation val="minMax"/>
          <c:min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62103935"/>
        <c:crosses val="autoZero"/>
        <c:crossBetween val="midCat"/>
      </c:valAx>
      <c:valAx>
        <c:axId val="962103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62102143"/>
        <c:crosses val="autoZero"/>
        <c:crossBetween val="midCat"/>
      </c:valAx>
      <c:valAx>
        <c:axId val="95970489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59694143"/>
        <c:crosses val="max"/>
        <c:crossBetween val="midCat"/>
      </c:valAx>
      <c:valAx>
        <c:axId val="959694143"/>
        <c:scaling>
          <c:logBase val="10"/>
          <c:orientation val="minMax"/>
        </c:scaling>
        <c:delete val="1"/>
        <c:axPos val="b"/>
        <c:numFmt formatCode="0" sourceLinked="1"/>
        <c:majorTickMark val="out"/>
        <c:minorTickMark val="none"/>
        <c:tickLblPos val="nextTo"/>
        <c:crossAx val="9597048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381000</xdr:colOff>
      <xdr:row>6</xdr:row>
      <xdr:rowOff>81845</xdr:rowOff>
    </xdr:from>
    <xdr:to>
      <xdr:col>15</xdr:col>
      <xdr:colOff>825500</xdr:colOff>
      <xdr:row>25</xdr:row>
      <xdr:rowOff>42333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BBD18B90-DB05-65D2-3C98-0A1FEC7175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E1853-7986-9E49-B3F9-356D11DD8305}">
  <dimension ref="A1:Q18"/>
  <sheetViews>
    <sheetView topLeftCell="A4" zoomScale="150" workbookViewId="0">
      <selection activeCell="B11" sqref="B11:H18"/>
    </sheetView>
  </sheetViews>
  <sheetFormatPr baseColWidth="10" defaultRowHeight="20"/>
  <cols>
    <col min="4" max="4" width="20.85546875" customWidth="1"/>
    <col min="5" max="5" width="19.28515625" customWidth="1"/>
    <col min="6" max="6" width="10.85546875" customWidth="1"/>
    <col min="7" max="7" width="12.7109375" customWidth="1"/>
    <col min="13" max="13" width="18.85546875" customWidth="1"/>
    <col min="14" max="14" width="19" customWidth="1"/>
  </cols>
  <sheetData>
    <row r="1" spans="1:17">
      <c r="K1" t="s">
        <v>14</v>
      </c>
    </row>
    <row r="2" spans="1:17">
      <c r="A2" t="s">
        <v>4</v>
      </c>
      <c r="B2" t="s">
        <v>1</v>
      </c>
      <c r="C2" t="s">
        <v>0</v>
      </c>
      <c r="D2" t="s">
        <v>37</v>
      </c>
      <c r="E2" t="s">
        <v>5</v>
      </c>
      <c r="F2" t="s">
        <v>12</v>
      </c>
      <c r="G2" t="s">
        <v>8</v>
      </c>
      <c r="H2" t="s">
        <v>11</v>
      </c>
      <c r="J2" s="5"/>
      <c r="K2" t="s">
        <v>1</v>
      </c>
      <c r="L2" t="s">
        <v>0</v>
      </c>
      <c r="M2" t="s">
        <v>2</v>
      </c>
      <c r="N2" t="s">
        <v>5</v>
      </c>
      <c r="O2" t="s">
        <v>12</v>
      </c>
      <c r="P2" t="s">
        <v>8</v>
      </c>
      <c r="Q2" t="s">
        <v>11</v>
      </c>
    </row>
    <row r="3" spans="1:17">
      <c r="B3">
        <v>48.2</v>
      </c>
      <c r="C3">
        <v>533.1</v>
      </c>
      <c r="D3" s="2">
        <f>1/(2*PI()*SQRT((B3*(10^-12))*(C3*(10^-6)))*1000)</f>
        <v>992.86973197709028</v>
      </c>
      <c r="E3">
        <v>718</v>
      </c>
      <c r="F3" s="1">
        <f t="shared" ref="F3:F8" si="0">(D3-E3)*100/D3</f>
        <v>27.684370177117323</v>
      </c>
      <c r="G3">
        <v>18.8</v>
      </c>
      <c r="H3" s="1">
        <v>7</v>
      </c>
      <c r="J3" s="5">
        <v>48.2</v>
      </c>
      <c r="K3" s="1">
        <f>J3+38.15</f>
        <v>86.35</v>
      </c>
      <c r="L3">
        <v>533.1</v>
      </c>
      <c r="M3" s="2">
        <f>1/(2*PI()*SQRT((K3*(10^-12))*(L3*(10^-6)))*1000)</f>
        <v>741.79622594538557</v>
      </c>
      <c r="N3">
        <v>718</v>
      </c>
      <c r="O3" s="1">
        <f t="shared" ref="O3:O8" si="1">(M3-N3)*100/M3</f>
        <v>3.2079195219763168</v>
      </c>
      <c r="P3">
        <v>18.8</v>
      </c>
      <c r="Q3" s="1">
        <v>7</v>
      </c>
    </row>
    <row r="4" spans="1:17">
      <c r="B4">
        <v>98.9</v>
      </c>
      <c r="C4">
        <v>533.1</v>
      </c>
      <c r="D4" s="2">
        <f t="shared" ref="D4:D8" si="2">1/(2*PI()*SQRT((B4*(10^-12))*(C4*(10^-6)))*1000)</f>
        <v>693.13470535779902</v>
      </c>
      <c r="E4">
        <v>581</v>
      </c>
      <c r="F4" s="1">
        <f t="shared" si="0"/>
        <v>16.177909501720105</v>
      </c>
      <c r="G4" s="1">
        <v>17</v>
      </c>
      <c r="H4">
        <v>6.24</v>
      </c>
      <c r="J4" s="5">
        <v>98.9</v>
      </c>
      <c r="K4" s="2">
        <f t="shared" ref="K4:K8" si="3">J4+38.15</f>
        <v>137.05000000000001</v>
      </c>
      <c r="L4">
        <v>533.1</v>
      </c>
      <c r="M4" s="2">
        <f t="shared" ref="M4:M8" si="4">1/(2*PI()*SQRT((K4*(10^-12))*(L4*(10^-6)))*1000)</f>
        <v>588.81148221332342</v>
      </c>
      <c r="N4">
        <v>581</v>
      </c>
      <c r="O4" s="2">
        <f t="shared" si="1"/>
        <v>1.3266524939290085</v>
      </c>
      <c r="P4" s="1">
        <v>17</v>
      </c>
      <c r="Q4">
        <v>6.24</v>
      </c>
    </row>
    <row r="5" spans="1:17">
      <c r="B5">
        <v>180</v>
      </c>
      <c r="C5">
        <v>533.1</v>
      </c>
      <c r="D5" s="2">
        <f t="shared" si="2"/>
        <v>513.78277232804066</v>
      </c>
      <c r="E5">
        <v>462</v>
      </c>
      <c r="F5" s="2">
        <f t="shared" si="0"/>
        <v>10.07872881634465</v>
      </c>
      <c r="G5">
        <v>15.6</v>
      </c>
      <c r="H5" s="1">
        <v>5.8</v>
      </c>
      <c r="J5" s="5">
        <v>180</v>
      </c>
      <c r="K5" s="2">
        <f t="shared" si="3"/>
        <v>218.15</v>
      </c>
      <c r="L5">
        <v>533.1</v>
      </c>
      <c r="M5" s="2">
        <f t="shared" si="4"/>
        <v>466.70040924940554</v>
      </c>
      <c r="N5">
        <v>462</v>
      </c>
      <c r="O5" s="2">
        <f t="shared" si="1"/>
        <v>1.0071577303660839</v>
      </c>
      <c r="P5">
        <v>15.6</v>
      </c>
      <c r="Q5" s="1">
        <v>5.8</v>
      </c>
    </row>
    <row r="6" spans="1:17">
      <c r="B6">
        <v>276</v>
      </c>
      <c r="C6">
        <v>533.1</v>
      </c>
      <c r="D6" s="2">
        <f t="shared" si="2"/>
        <v>414.91701931603183</v>
      </c>
      <c r="E6">
        <v>384.6</v>
      </c>
      <c r="F6" s="1">
        <f t="shared" si="0"/>
        <v>7.3067668725683417</v>
      </c>
      <c r="G6">
        <v>14.8</v>
      </c>
      <c r="H6">
        <v>5.16</v>
      </c>
      <c r="J6" s="5">
        <v>276</v>
      </c>
      <c r="K6" s="2">
        <f t="shared" si="3"/>
        <v>314.14999999999998</v>
      </c>
      <c r="L6">
        <v>533.1</v>
      </c>
      <c r="M6" s="2">
        <f t="shared" si="4"/>
        <v>388.90834162671246</v>
      </c>
      <c r="N6">
        <v>384.6</v>
      </c>
      <c r="O6" s="1">
        <f t="shared" si="1"/>
        <v>1.1078038616224199</v>
      </c>
      <c r="P6">
        <v>14.8</v>
      </c>
      <c r="Q6">
        <v>5.16</v>
      </c>
    </row>
    <row r="7" spans="1:17">
      <c r="B7">
        <v>478</v>
      </c>
      <c r="C7">
        <v>533.1</v>
      </c>
      <c r="D7" s="2">
        <f t="shared" si="2"/>
        <v>315.28393487914673</v>
      </c>
      <c r="E7">
        <v>299</v>
      </c>
      <c r="F7" s="1">
        <f>(D7-E7)*100/D7</f>
        <v>5.1648476429313197</v>
      </c>
      <c r="G7">
        <v>13.68</v>
      </c>
      <c r="H7">
        <v>4.99</v>
      </c>
      <c r="J7" s="5">
        <v>478</v>
      </c>
      <c r="K7" s="2">
        <f t="shared" si="3"/>
        <v>516.15</v>
      </c>
      <c r="L7">
        <v>533.1</v>
      </c>
      <c r="M7" s="2">
        <f t="shared" si="4"/>
        <v>303.40855668947944</v>
      </c>
      <c r="N7">
        <v>299</v>
      </c>
      <c r="O7" s="2">
        <f t="shared" si="1"/>
        <v>1.453010006567262</v>
      </c>
      <c r="P7">
        <v>13.68</v>
      </c>
      <c r="Q7">
        <v>4.99</v>
      </c>
    </row>
    <row r="8" spans="1:17">
      <c r="B8">
        <v>963</v>
      </c>
      <c r="C8">
        <v>533.1</v>
      </c>
      <c r="D8" s="2">
        <f t="shared" si="2"/>
        <v>222.12766268757332</v>
      </c>
      <c r="E8">
        <v>213.3</v>
      </c>
      <c r="F8" s="2">
        <f t="shared" si="0"/>
        <v>3.9741392768309005</v>
      </c>
      <c r="G8">
        <v>10.64</v>
      </c>
      <c r="H8">
        <v>3.71</v>
      </c>
      <c r="J8" s="5">
        <v>963</v>
      </c>
      <c r="K8" s="2">
        <f t="shared" si="3"/>
        <v>1001.15</v>
      </c>
      <c r="L8">
        <v>533.1</v>
      </c>
      <c r="M8" s="2">
        <f t="shared" si="4"/>
        <v>217.85433917031824</v>
      </c>
      <c r="N8">
        <v>213.3</v>
      </c>
      <c r="O8" s="1">
        <f t="shared" si="1"/>
        <v>2.0905432444738468</v>
      </c>
      <c r="P8">
        <v>10.64</v>
      </c>
      <c r="Q8">
        <v>3.71</v>
      </c>
    </row>
    <row r="9" spans="1:17">
      <c r="A9" t="s">
        <v>10</v>
      </c>
      <c r="B9" t="s">
        <v>10</v>
      </c>
      <c r="E9" t="s">
        <v>13</v>
      </c>
      <c r="F9" s="3"/>
      <c r="G9">
        <v>20.399999999999999</v>
      </c>
      <c r="H9" s="1">
        <v>7.8</v>
      </c>
      <c r="J9" s="5"/>
      <c r="N9" t="s">
        <v>13</v>
      </c>
      <c r="O9" s="3"/>
      <c r="P9">
        <v>20.399999999999999</v>
      </c>
      <c r="Q9" s="1">
        <v>7.8</v>
      </c>
    </row>
    <row r="10" spans="1:17">
      <c r="F10" s="3"/>
      <c r="J10" s="5"/>
    </row>
    <row r="11" spans="1:17">
      <c r="A11" t="s">
        <v>7</v>
      </c>
      <c r="B11" t="s">
        <v>3</v>
      </c>
      <c r="C11" t="s">
        <v>0</v>
      </c>
      <c r="D11" t="s">
        <v>38</v>
      </c>
      <c r="E11" t="s">
        <v>6</v>
      </c>
      <c r="F11" t="s">
        <v>9</v>
      </c>
      <c r="G11" t="s">
        <v>8</v>
      </c>
      <c r="H11" t="s">
        <v>11</v>
      </c>
      <c r="J11" s="5"/>
    </row>
    <row r="12" spans="1:17">
      <c r="B12">
        <v>48.2</v>
      </c>
      <c r="C12">
        <v>316.3</v>
      </c>
      <c r="D12" s="3">
        <f>1/(2*PI()*SQRT(((B12*(10^-12)*1000*(10^-12))/(B12*(10^-12)+1000*(10^-12)))*(C12*(10^-6)))*1000000)</f>
        <v>1.3196813957145348</v>
      </c>
      <c r="E12">
        <v>0.99399999999999999</v>
      </c>
      <c r="F12" s="1">
        <f>(D12-E12)*100/D12</f>
        <v>24.678789651209431</v>
      </c>
      <c r="G12" s="4">
        <v>0.49</v>
      </c>
      <c r="H12">
        <v>0.17100000000000001</v>
      </c>
    </row>
    <row r="13" spans="1:17">
      <c r="B13">
        <v>98.9</v>
      </c>
      <c r="C13">
        <v>316.3</v>
      </c>
      <c r="D13" s="4">
        <f t="shared" ref="D13:D17" si="5">1/(2*PI()*SQRT(((B13*(10^-12)*1000*(10^-12))/(B13*(10^-12)+1000*(10^-12)))*(C13*(10^-6)))*1000000)</f>
        <v>0.94330356677908123</v>
      </c>
      <c r="E13">
        <v>0.81399999999999995</v>
      </c>
      <c r="F13" s="1">
        <f t="shared" ref="F13:F17" si="6">(D13-E13)*100/D13</f>
        <v>13.707524420859501</v>
      </c>
      <c r="G13">
        <v>0.66400000000000003</v>
      </c>
      <c r="H13">
        <v>0.23300000000000001</v>
      </c>
    </row>
    <row r="14" spans="1:17">
      <c r="B14">
        <v>180</v>
      </c>
      <c r="C14">
        <v>316.3</v>
      </c>
      <c r="D14" s="4">
        <f t="shared" si="5"/>
        <v>0.72456155499880692</v>
      </c>
      <c r="E14">
        <v>0.67100000000000004</v>
      </c>
      <c r="F14" s="1">
        <f>(D14-E14)*100/D14</f>
        <v>7.3922711782431065</v>
      </c>
      <c r="G14">
        <v>0.90800000000000003</v>
      </c>
      <c r="H14">
        <v>0.314</v>
      </c>
    </row>
    <row r="15" spans="1:17">
      <c r="B15">
        <v>276</v>
      </c>
      <c r="C15">
        <v>316.3</v>
      </c>
      <c r="D15" s="4">
        <f t="shared" si="5"/>
        <v>0.60847302796773417</v>
      </c>
      <c r="E15">
        <v>0.58199999999999996</v>
      </c>
      <c r="F15" s="1">
        <f t="shared" si="6"/>
        <v>4.3507315445275596</v>
      </c>
      <c r="G15">
        <v>1.21</v>
      </c>
      <c r="H15">
        <v>0.42199999999999999</v>
      </c>
    </row>
    <row r="16" spans="1:17">
      <c r="B16">
        <v>478</v>
      </c>
      <c r="C16">
        <v>316.3</v>
      </c>
      <c r="D16" s="4">
        <f t="shared" si="5"/>
        <v>0.49761539100175828</v>
      </c>
      <c r="E16">
        <v>0.48799999999999999</v>
      </c>
      <c r="F16" s="1">
        <f t="shared" si="6"/>
        <v>1.9322937303851024</v>
      </c>
      <c r="G16">
        <v>1.74</v>
      </c>
      <c r="H16">
        <v>0.59799999999999998</v>
      </c>
    </row>
    <row r="17" spans="1:8">
      <c r="B17">
        <v>963</v>
      </c>
      <c r="C17">
        <v>316.3</v>
      </c>
      <c r="D17" s="4">
        <f t="shared" si="5"/>
        <v>0.4040336546768758</v>
      </c>
      <c r="E17">
        <v>0.40200000000000002</v>
      </c>
      <c r="F17" s="1">
        <f t="shared" si="6"/>
        <v>0.50333794062333248</v>
      </c>
      <c r="G17">
        <v>2.66</v>
      </c>
      <c r="H17">
        <v>0.92900000000000005</v>
      </c>
    </row>
    <row r="18" spans="1:8">
      <c r="A18" t="s">
        <v>10</v>
      </c>
      <c r="B18" t="s">
        <v>10</v>
      </c>
      <c r="E18" t="s">
        <v>15</v>
      </c>
    </row>
  </sheetData>
  <phoneticPr fontId="1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DB2A9-4890-8D42-9B72-5DC2CA73D4F2}">
  <dimension ref="A2:H31"/>
  <sheetViews>
    <sheetView zoomScale="150" workbookViewId="0">
      <selection activeCell="B2" sqref="B2:H29"/>
    </sheetView>
  </sheetViews>
  <sheetFormatPr baseColWidth="10" defaultRowHeight="20"/>
  <cols>
    <col min="3" max="3" width="16.42578125" customWidth="1"/>
    <col min="4" max="4" width="14.85546875" customWidth="1"/>
    <col min="5" max="5" width="16.42578125" customWidth="1"/>
    <col min="6" max="6" width="14.28515625" customWidth="1"/>
    <col min="7" max="7" width="13.140625" customWidth="1"/>
    <col min="8" max="8" width="15.28515625" customWidth="1"/>
  </cols>
  <sheetData>
    <row r="2" spans="1:8">
      <c r="B2" t="s">
        <v>16</v>
      </c>
      <c r="C2" t="s">
        <v>19</v>
      </c>
      <c r="D2" t="s">
        <v>21</v>
      </c>
      <c r="E2" t="s">
        <v>20</v>
      </c>
      <c r="F2" t="s">
        <v>22</v>
      </c>
      <c r="G2" t="s">
        <v>17</v>
      </c>
      <c r="H2" t="s">
        <v>18</v>
      </c>
    </row>
    <row r="3" spans="1:8">
      <c r="A3" s="5">
        <v>1</v>
      </c>
      <c r="B3" s="2">
        <f>100 * (50000/100)^(A2 / 19)</f>
        <v>100</v>
      </c>
      <c r="C3">
        <v>1.756</v>
      </c>
      <c r="D3" s="3">
        <v>5.08</v>
      </c>
      <c r="E3">
        <v>5.2400000000000002E-2</v>
      </c>
      <c r="F3">
        <v>0.16</v>
      </c>
      <c r="G3" s="4">
        <f>E3/C3</f>
        <v>2.9840546697038724E-2</v>
      </c>
      <c r="H3">
        <v>86</v>
      </c>
    </row>
    <row r="4" spans="1:8">
      <c r="A4" s="5">
        <v>2</v>
      </c>
      <c r="B4" s="2">
        <f t="shared" ref="B4:B22" si="0">100 * (50000/100)^(A3 / 19)</f>
        <v>138.6918856530028</v>
      </c>
      <c r="C4">
        <v>1.7929999999999999</v>
      </c>
      <c r="D4">
        <v>5.12</v>
      </c>
      <c r="E4">
        <v>7.1599999999999997E-2</v>
      </c>
      <c r="F4">
        <v>0.218</v>
      </c>
      <c r="G4" s="4">
        <f t="shared" ref="G4:G29" si="1">E4/C4</f>
        <v>3.9933073061907416E-2</v>
      </c>
      <c r="H4">
        <v>83</v>
      </c>
    </row>
    <row r="5" spans="1:8">
      <c r="A5" s="5">
        <v>3</v>
      </c>
      <c r="B5" s="2">
        <f t="shared" si="0"/>
        <v>192.354391459856</v>
      </c>
      <c r="C5">
        <v>1.7290000000000001</v>
      </c>
      <c r="D5" s="4">
        <v>5.12</v>
      </c>
      <c r="E5">
        <v>0.10100000000000001</v>
      </c>
      <c r="F5">
        <v>0.29599999999999999</v>
      </c>
      <c r="G5" s="4">
        <f t="shared" si="1"/>
        <v>5.8415268941584733E-2</v>
      </c>
      <c r="H5">
        <v>80</v>
      </c>
    </row>
    <row r="6" spans="1:8">
      <c r="A6" s="5">
        <v>4</v>
      </c>
      <c r="B6" s="2">
        <f t="shared" si="0"/>
        <v>266.77993265203281</v>
      </c>
      <c r="C6" s="4">
        <v>1.76</v>
      </c>
      <c r="D6" s="4">
        <v>5.12</v>
      </c>
      <c r="E6">
        <v>0.13800000000000001</v>
      </c>
      <c r="F6">
        <v>0.40200000000000002</v>
      </c>
      <c r="G6" s="4">
        <f t="shared" si="1"/>
        <v>7.8409090909090914E-2</v>
      </c>
      <c r="H6">
        <v>75</v>
      </c>
    </row>
    <row r="7" spans="1:8">
      <c r="A7" s="5">
        <v>5</v>
      </c>
      <c r="B7" s="2">
        <f t="shared" si="0"/>
        <v>370.00211913891519</v>
      </c>
      <c r="C7" s="4">
        <v>1.82</v>
      </c>
      <c r="D7" s="4">
        <v>5.12</v>
      </c>
      <c r="E7">
        <v>0.18099999999999999</v>
      </c>
      <c r="F7" s="4">
        <v>0.54</v>
      </c>
      <c r="G7" s="4">
        <f t="shared" si="1"/>
        <v>9.9450549450549444E-2</v>
      </c>
      <c r="H7" s="2">
        <v>70</v>
      </c>
    </row>
    <row r="8" spans="1:8">
      <c r="A8" s="5">
        <v>6</v>
      </c>
      <c r="B8" s="2">
        <f t="shared" si="0"/>
        <v>513.16291598983139</v>
      </c>
      <c r="C8">
        <v>1.7749999999999999</v>
      </c>
      <c r="D8" s="3">
        <v>5.08</v>
      </c>
      <c r="E8">
        <v>0.24729999999999999</v>
      </c>
      <c r="F8">
        <v>0.71799999999999997</v>
      </c>
      <c r="G8" s="4">
        <f t="shared" si="1"/>
        <v>0.13932394366197184</v>
      </c>
      <c r="H8">
        <v>63</v>
      </c>
    </row>
    <row r="9" spans="1:8">
      <c r="A9" s="5">
        <v>7</v>
      </c>
      <c r="B9" s="2">
        <f t="shared" si="0"/>
        <v>711.71532465823168</v>
      </c>
      <c r="C9" s="4">
        <v>1.78</v>
      </c>
      <c r="D9" s="3">
        <v>5.08</v>
      </c>
      <c r="E9">
        <v>0.31840000000000002</v>
      </c>
      <c r="F9">
        <v>0.92800000000000005</v>
      </c>
      <c r="G9" s="4">
        <f t="shared" si="1"/>
        <v>0.17887640449438202</v>
      </c>
      <c r="H9" s="2">
        <v>54</v>
      </c>
    </row>
    <row r="10" spans="1:8">
      <c r="A10" s="5">
        <v>8</v>
      </c>
      <c r="B10" s="2">
        <f t="shared" si="0"/>
        <v>987.09140424989243</v>
      </c>
      <c r="C10" s="4">
        <v>1.77</v>
      </c>
      <c r="D10" s="3">
        <v>5.0999999999999996</v>
      </c>
      <c r="E10">
        <v>0.4098</v>
      </c>
      <c r="F10">
        <v>1.1599999999999999</v>
      </c>
      <c r="G10" s="4">
        <f t="shared" si="1"/>
        <v>0.23152542372881355</v>
      </c>
      <c r="H10" s="2">
        <v>45</v>
      </c>
    </row>
    <row r="11" spans="1:8">
      <c r="A11" s="5">
        <v>9</v>
      </c>
      <c r="B11" s="2">
        <f t="shared" si="0"/>
        <v>1369.0156816728797</v>
      </c>
      <c r="C11" s="4">
        <v>1.7669999999999999</v>
      </c>
      <c r="D11" s="4">
        <v>5.13</v>
      </c>
      <c r="E11">
        <v>0.47899999999999998</v>
      </c>
      <c r="F11">
        <v>1.39</v>
      </c>
      <c r="G11" s="4">
        <f t="shared" si="1"/>
        <v>0.27108092812676854</v>
      </c>
      <c r="H11" s="2">
        <v>32</v>
      </c>
    </row>
    <row r="12" spans="1:8">
      <c r="A12" s="5">
        <v>10</v>
      </c>
      <c r="B12" s="2">
        <f t="shared" si="0"/>
        <v>1898.713663797427</v>
      </c>
      <c r="C12" s="4">
        <v>1.8160000000000001</v>
      </c>
      <c r="D12" s="4">
        <v>5.13</v>
      </c>
      <c r="E12">
        <v>0.55700000000000005</v>
      </c>
      <c r="F12">
        <v>1.55</v>
      </c>
      <c r="G12" s="4">
        <f t="shared" si="1"/>
        <v>0.30671806167400884</v>
      </c>
      <c r="H12" s="2">
        <v>19</v>
      </c>
    </row>
    <row r="13" spans="1:8">
      <c r="A13" s="5">
        <v>11</v>
      </c>
      <c r="B13" s="2">
        <f t="shared" si="0"/>
        <v>2633.3617834718675</v>
      </c>
      <c r="C13" s="4">
        <v>1.83</v>
      </c>
      <c r="D13" s="3">
        <v>5.17</v>
      </c>
      <c r="E13">
        <v>0.58799999999999997</v>
      </c>
      <c r="F13">
        <v>1.63</v>
      </c>
      <c r="G13" s="4">
        <f t="shared" si="1"/>
        <v>0.32131147540983601</v>
      </c>
      <c r="H13" s="2">
        <v>8</v>
      </c>
    </row>
    <row r="14" spans="1:8">
      <c r="A14" s="5">
        <v>12</v>
      </c>
      <c r="B14" s="2">
        <f t="shared" si="0"/>
        <v>3652.2591135626781</v>
      </c>
      <c r="C14" s="4">
        <v>1.734</v>
      </c>
      <c r="D14" s="3">
        <v>5.15</v>
      </c>
      <c r="E14">
        <v>0.55900000000000005</v>
      </c>
      <c r="F14">
        <v>1.653</v>
      </c>
      <c r="G14" s="4">
        <f t="shared" si="1"/>
        <v>0.32237600922722032</v>
      </c>
      <c r="H14" s="1">
        <v>-4.5</v>
      </c>
    </row>
    <row r="15" spans="1:8">
      <c r="A15" s="5">
        <v>13</v>
      </c>
      <c r="B15" s="2">
        <f t="shared" si="0"/>
        <v>5065.3870335337224</v>
      </c>
      <c r="C15" s="4">
        <v>1.786</v>
      </c>
      <c r="D15" s="3">
        <v>5.15</v>
      </c>
      <c r="E15">
        <v>0.55300000000000005</v>
      </c>
      <c r="F15">
        <v>1.59</v>
      </c>
      <c r="G15" s="4">
        <f t="shared" si="1"/>
        <v>0.30963045912653975</v>
      </c>
      <c r="H15" s="2">
        <v>-16</v>
      </c>
    </row>
    <row r="16" spans="1:8">
      <c r="A16" s="5">
        <v>14</v>
      </c>
      <c r="B16" s="2">
        <f t="shared" si="0"/>
        <v>7025.2807924306207</v>
      </c>
      <c r="C16" s="4">
        <v>1.77</v>
      </c>
      <c r="D16" s="4">
        <v>5.13</v>
      </c>
      <c r="E16">
        <v>0.4965</v>
      </c>
      <c r="F16">
        <v>1.44</v>
      </c>
      <c r="G16" s="4">
        <f t="shared" si="1"/>
        <v>0.28050847457627121</v>
      </c>
      <c r="H16" s="2">
        <v>-29</v>
      </c>
    </row>
    <row r="17" spans="1:8">
      <c r="A17" s="5">
        <v>15</v>
      </c>
      <c r="B17" s="2">
        <f t="shared" si="0"/>
        <v>9743.4944034402433</v>
      </c>
      <c r="C17" s="4">
        <v>1.7849999999999999</v>
      </c>
      <c r="D17" s="4">
        <v>5.13</v>
      </c>
      <c r="E17">
        <v>0.44040000000000001</v>
      </c>
      <c r="F17">
        <v>1.24</v>
      </c>
      <c r="G17" s="4">
        <f t="shared" si="1"/>
        <v>0.24672268907563027</v>
      </c>
      <c r="H17" s="2">
        <v>-40</v>
      </c>
    </row>
    <row r="18" spans="1:8">
      <c r="A18" s="5">
        <v>16</v>
      </c>
      <c r="B18" s="2">
        <f t="shared" si="0"/>
        <v>13513.436116626068</v>
      </c>
      <c r="C18" s="4">
        <v>1.7769999999999999</v>
      </c>
      <c r="D18" s="3">
        <v>5.0999999999999996</v>
      </c>
      <c r="E18">
        <v>0.35299999999999998</v>
      </c>
      <c r="F18">
        <v>1.01</v>
      </c>
      <c r="G18" s="4">
        <f t="shared" si="1"/>
        <v>0.19864940911648846</v>
      </c>
      <c r="H18" s="2">
        <v>-51</v>
      </c>
    </row>
    <row r="19" spans="1:8">
      <c r="A19" s="5">
        <v>17</v>
      </c>
      <c r="B19" s="2">
        <f t="shared" si="0"/>
        <v>18742.039366662601</v>
      </c>
      <c r="C19" s="4">
        <v>1.76</v>
      </c>
      <c r="D19" s="3">
        <v>5.08</v>
      </c>
      <c r="E19">
        <v>0.27929999999999999</v>
      </c>
      <c r="F19" s="4">
        <v>0.8</v>
      </c>
      <c r="G19" s="4">
        <f t="shared" si="1"/>
        <v>0.15869318181818182</v>
      </c>
      <c r="H19" s="2">
        <v>-59</v>
      </c>
    </row>
    <row r="20" spans="1:8">
      <c r="A20" s="5">
        <v>18</v>
      </c>
      <c r="B20" s="2">
        <f t="shared" si="0"/>
        <v>25993.687807452476</v>
      </c>
      <c r="C20" s="4">
        <v>1.7509999999999999</v>
      </c>
      <c r="D20" s="3">
        <v>5.08</v>
      </c>
      <c r="E20">
        <v>0.21099999999999999</v>
      </c>
      <c r="F20">
        <v>0.64800000000000002</v>
      </c>
      <c r="G20" s="4">
        <f t="shared" si="1"/>
        <v>0.12050256996002284</v>
      </c>
      <c r="H20" s="2">
        <v>-66</v>
      </c>
    </row>
    <row r="21" spans="1:8">
      <c r="A21" s="5">
        <v>19</v>
      </c>
      <c r="B21" s="2">
        <f t="shared" si="0"/>
        <v>36051.135770910478</v>
      </c>
      <c r="C21" s="4">
        <v>1.8129999999999999</v>
      </c>
      <c r="D21" s="3">
        <v>5.05</v>
      </c>
      <c r="E21">
        <v>0.15040000000000001</v>
      </c>
      <c r="F21" s="4">
        <v>0.45</v>
      </c>
      <c r="G21" s="4">
        <f t="shared" si="1"/>
        <v>8.2956425813568671E-2</v>
      </c>
      <c r="H21" s="2">
        <v>-71</v>
      </c>
    </row>
    <row r="22" spans="1:8">
      <c r="A22" s="5">
        <v>20</v>
      </c>
      <c r="B22" s="2">
        <f t="shared" si="0"/>
        <v>50000</v>
      </c>
      <c r="C22" s="4">
        <v>1.764</v>
      </c>
      <c r="D22" s="3">
        <v>5.08</v>
      </c>
      <c r="E22">
        <v>0.112</v>
      </c>
      <c r="F22">
        <v>0.33800000000000002</v>
      </c>
      <c r="G22" s="4">
        <f t="shared" si="1"/>
        <v>6.3492063492063489E-2</v>
      </c>
      <c r="H22" s="2">
        <v>-74</v>
      </c>
    </row>
    <row r="23" spans="1:8">
      <c r="B23">
        <v>3000</v>
      </c>
      <c r="C23" s="4">
        <v>1.8680000000000001</v>
      </c>
      <c r="D23" s="4">
        <v>5.1790000000000003</v>
      </c>
      <c r="E23">
        <v>0.60350000000000004</v>
      </c>
      <c r="F23" s="4">
        <v>1.65</v>
      </c>
      <c r="G23" s="4">
        <f t="shared" si="1"/>
        <v>0.32307280513918629</v>
      </c>
      <c r="H23" s="2">
        <v>2</v>
      </c>
    </row>
    <row r="24" spans="1:8">
      <c r="B24">
        <v>3100</v>
      </c>
      <c r="C24" s="4">
        <v>1.8540000000000001</v>
      </c>
      <c r="D24" s="3">
        <v>5.15</v>
      </c>
      <c r="E24">
        <v>0.59899999999999998</v>
      </c>
      <c r="F24" s="4">
        <v>1.65</v>
      </c>
      <c r="G24" s="4">
        <f t="shared" si="1"/>
        <v>0.32308522114347354</v>
      </c>
      <c r="H24" s="2">
        <v>2</v>
      </c>
    </row>
    <row r="25" spans="1:8">
      <c r="B25">
        <v>3200</v>
      </c>
      <c r="C25" s="4">
        <v>1.8320000000000001</v>
      </c>
      <c r="D25" s="3">
        <v>5.15</v>
      </c>
      <c r="E25">
        <v>0.59199999999999997</v>
      </c>
      <c r="F25" s="4">
        <v>1.65</v>
      </c>
      <c r="G25" s="4">
        <f t="shared" si="1"/>
        <v>0.32314410480349343</v>
      </c>
      <c r="H25" s="2">
        <v>1</v>
      </c>
    </row>
    <row r="26" spans="1:8">
      <c r="B26">
        <v>3300</v>
      </c>
      <c r="C26" s="4">
        <v>1.8069999999999999</v>
      </c>
      <c r="D26" s="3">
        <v>5.17</v>
      </c>
      <c r="E26">
        <v>0.58299999999999996</v>
      </c>
      <c r="F26" s="3">
        <v>1.65</v>
      </c>
      <c r="G26" s="4">
        <f t="shared" si="1"/>
        <v>0.32263420033204204</v>
      </c>
      <c r="H26" s="2">
        <v>0</v>
      </c>
    </row>
    <row r="27" spans="1:8">
      <c r="B27">
        <v>3400</v>
      </c>
      <c r="C27" s="4">
        <v>1.77</v>
      </c>
      <c r="D27" s="3">
        <v>5.17</v>
      </c>
      <c r="E27">
        <v>0.57399999999999995</v>
      </c>
      <c r="F27" s="3">
        <v>1.65</v>
      </c>
      <c r="G27" s="4">
        <f t="shared" si="1"/>
        <v>0.32429378531073444</v>
      </c>
      <c r="H27" s="2">
        <v>-1</v>
      </c>
    </row>
    <row r="28" spans="1:8">
      <c r="B28">
        <v>3500</v>
      </c>
      <c r="C28" s="4">
        <v>1.756</v>
      </c>
      <c r="D28" s="3">
        <v>5.17</v>
      </c>
      <c r="E28">
        <v>0.56699999999999995</v>
      </c>
      <c r="F28" s="3">
        <v>1.64</v>
      </c>
      <c r="G28" s="4">
        <f t="shared" si="1"/>
        <v>0.32289293849658313</v>
      </c>
      <c r="H28" s="2">
        <v>-2</v>
      </c>
    </row>
    <row r="29" spans="1:8">
      <c r="B29">
        <v>3344</v>
      </c>
      <c r="C29" s="4">
        <v>1.7949999999999999</v>
      </c>
      <c r="D29" s="3">
        <v>5.1790000000000003</v>
      </c>
      <c r="E29">
        <v>0.57899999999999996</v>
      </c>
      <c r="F29" s="3">
        <v>1.65</v>
      </c>
      <c r="G29" s="4">
        <f t="shared" si="1"/>
        <v>0.32256267409470751</v>
      </c>
      <c r="H29" s="1">
        <v>-0.5</v>
      </c>
    </row>
    <row r="31" spans="1:8">
      <c r="B31" t="s">
        <v>23</v>
      </c>
      <c r="D31" s="1">
        <f>(3344-3300)*100/3344</f>
        <v>1.3157894736842106</v>
      </c>
    </row>
  </sheetData>
  <phoneticPr fontId="1"/>
  <pageMargins left="0.7" right="0.7" top="0.75" bottom="0.75" header="0.3" footer="0.3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BBAB3-CBF5-7643-9B5C-77152460A4F8}">
  <dimension ref="B2:J15"/>
  <sheetViews>
    <sheetView tabSelected="1" zoomScale="125" workbookViewId="0">
      <selection activeCell="B2" sqref="B2:B4"/>
    </sheetView>
  </sheetViews>
  <sheetFormatPr baseColWidth="10" defaultRowHeight="20"/>
  <cols>
    <col min="2" max="2" width="21.85546875" customWidth="1"/>
    <col min="3" max="3" width="14.140625" customWidth="1"/>
    <col min="4" max="4" width="15.42578125" customWidth="1"/>
    <col min="5" max="5" width="15.85546875" customWidth="1"/>
    <col min="6" max="6" width="15.7109375" customWidth="1"/>
    <col min="7" max="7" width="15" customWidth="1"/>
    <col min="8" max="8" width="17.42578125" customWidth="1"/>
    <col min="9" max="9" width="22.5703125" customWidth="1"/>
    <col min="10" max="10" width="17.42578125" customWidth="1"/>
  </cols>
  <sheetData>
    <row r="2" spans="2:10">
      <c r="B2" t="s">
        <v>26</v>
      </c>
      <c r="C2" t="s">
        <v>21</v>
      </c>
      <c r="D2" t="s">
        <v>27</v>
      </c>
      <c r="E2" t="s">
        <v>20</v>
      </c>
      <c r="F2" t="s">
        <v>20</v>
      </c>
      <c r="G2" t="s">
        <v>39</v>
      </c>
    </row>
    <row r="3" spans="2:10">
      <c r="B3">
        <v>3.33</v>
      </c>
      <c r="C3">
        <v>12.9</v>
      </c>
      <c r="D3">
        <v>4.53</v>
      </c>
      <c r="E3">
        <v>12.7</v>
      </c>
      <c r="F3">
        <v>4.41</v>
      </c>
      <c r="G3" s="1">
        <f>($G$8-B3)*100/G8</f>
        <v>0.29940119760478406</v>
      </c>
    </row>
    <row r="4" spans="2:10">
      <c r="B4">
        <v>3.33</v>
      </c>
      <c r="C4" s="1">
        <v>13</v>
      </c>
      <c r="D4">
        <v>4.5599999999999996</v>
      </c>
      <c r="E4">
        <v>12.7</v>
      </c>
      <c r="F4">
        <v>4.49</v>
      </c>
      <c r="G4" s="1">
        <f>($G$8-B4)*100/$G$8</f>
        <v>0.29940119760478406</v>
      </c>
    </row>
    <row r="7" spans="2:10">
      <c r="G7" t="s">
        <v>28</v>
      </c>
      <c r="H7" t="s">
        <v>25</v>
      </c>
    </row>
    <row r="8" spans="2:10">
      <c r="G8">
        <v>3.34</v>
      </c>
      <c r="H8">
        <v>3.02</v>
      </c>
    </row>
    <row r="12" spans="2:10">
      <c r="F12" t="s">
        <v>24</v>
      </c>
      <c r="G12" t="s">
        <v>30</v>
      </c>
      <c r="I12" t="s">
        <v>34</v>
      </c>
    </row>
    <row r="13" spans="2:10">
      <c r="F13" t="s">
        <v>29</v>
      </c>
      <c r="G13" s="3">
        <f>1+20360/9990</f>
        <v>3.0380380380380378</v>
      </c>
      <c r="I13" s="1">
        <f>(H8-G13)*100/H8</f>
        <v>-0.59728602774959694</v>
      </c>
    </row>
    <row r="14" spans="2:10">
      <c r="F14" t="s">
        <v>31</v>
      </c>
      <c r="H14" t="s">
        <v>32</v>
      </c>
      <c r="I14" t="s">
        <v>35</v>
      </c>
      <c r="J14" t="s">
        <v>33</v>
      </c>
    </row>
    <row r="15" spans="2:10">
      <c r="F15">
        <v>0.32300000000000001</v>
      </c>
      <c r="H15" s="4">
        <f>G13*F15</f>
        <v>0.98128628628628622</v>
      </c>
      <c r="I15" s="1">
        <f>(1-H15)*100/H15</f>
        <v>1.9070595375928985</v>
      </c>
    </row>
  </sheetData>
  <phoneticPr fontId="1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57A07-B246-E44C-AC45-62ED713300BB}">
  <dimension ref="A1"/>
  <sheetViews>
    <sheetView workbookViewId="0"/>
  </sheetViews>
  <sheetFormatPr baseColWidth="10" defaultRowHeight="20"/>
  <cols>
    <col min="1" max="1" width="69.5703125" customWidth="1"/>
  </cols>
  <sheetData>
    <row r="1" spans="1:1" ht="408" customHeight="1">
      <c r="A1" s="6" t="s">
        <v>36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LC</vt:lpstr>
      <vt:lpstr>WB発振 ボード線図</vt:lpstr>
      <vt:lpstr>WB発振　可変抵抗を変えて発振周波数求める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SatoTakumi</dc:creator>
  <cp:lastModifiedBy>SatoTakumi</cp:lastModifiedBy>
  <dcterms:created xsi:type="dcterms:W3CDTF">2026-07-10T07:08:29Z</dcterms:created>
  <dcterms:modified xsi:type="dcterms:W3CDTF">2026-08-06T18:01:54Z</dcterms:modified>
</cp:coreProperties>
</file>